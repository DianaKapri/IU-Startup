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Инструкция" sheetId="1" state="visible" r:id="rId1"/>
    <sheet name="Учебный план" sheetId="2" state="visible" r:id="rId2"/>
    <sheet name="Учителя" sheetId="3" state="visible" r:id="rId3"/>
    <sheet name="Распределение" sheetId="4" state="visible" r:id="rId4"/>
    <sheet name="Ограничения" sheetId="5" state="visible" r:id="rId5"/>
    <sheet name="Кабинеты" sheetId="6" state="visible" r:id="rId6"/>
    <sheet name="Классы" sheetId="7" state="visible" r:id="rId7"/>
    <sheet name="Справочник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8"/>
      <sz val="16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4E78"/>
      <sz val="10"/>
    </font>
    <font>
      <name val="Arial"/>
      <charset val="1"/>
      <family val="0"/>
      <i val="1"/>
      <color rgb="FF375623"/>
      <sz val="10"/>
    </font>
    <font>
      <name val="Arial"/>
      <family val="2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F4E78"/>
      <sz val="14"/>
    </font>
    <font>
      <b val="1"/>
    </font>
  </fonts>
  <fills count="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EDEDED"/>
      </patternFill>
    </fill>
    <fill>
      <patternFill patternType="solid">
        <fgColor rgb="FFFFF2CC"/>
        <bgColor rgb="FFF2F2F2"/>
      </patternFill>
    </fill>
    <fill>
      <patternFill patternType="solid">
        <fgColor rgb="FFBDD7EE"/>
        <bgColor rgb="FF99CCFF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8" borderId="0" pivotButton="0" quotePrefix="0" xfId="0"/>
    <xf numFmtId="0" fontId="13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Unknown Author</author>
  </authors>
  <commentList>
    <comment ref="B1" authorId="0" shapeId="0">
      <text>
        <t>Автоматически: сумма часов этого учителя по листу «Распределение».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Выберите из списка (лист «Учителя»).</t>
      </text>
    </comment>
    <comment ref="B1" authorId="0" shapeId="0">
      <text>
        <t>Выберите из списка.</t>
      </text>
    </comment>
    <comment ref="C1" authorId="0" shapeId="0">
      <text>
        <t>5А, 8Б…</t>
      </text>
    </comment>
    <comment ref="D1" authorId="0" shapeId="0">
      <text>
        <t>Автоматически из учебного плана. Перезапишите вручную, если учитель ведёт часть часов (деление, замещение).</t>
      </text>
    </comment>
    <comment ref="E1" authorId="0" shapeId="0">
      <text>
        <t>Для физики/химии/инф-ки — профильный (см. «Кабинеты»).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B1" authorId="0" shapeId="0">
      <text>
        <t>Свободный день — без уроков. Пусто = нет.</t>
      </text>
    </comment>
    <comment ref="C1" authorId="0" shapeId="0">
      <text>
        <t>Через запятую: Вт,Чт. Для совместителей.</t>
      </text>
    </comment>
    <comment ref="D1" authorId="0" shapeId="0">
      <text>
        <t>По умолчанию 6. Ставьте меньше, если учитель так просит.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Физика / Химия / Информатика / Биология / Спортзал / Мастерская / Актовый зал. Обычные кабинеты не перечисляйте — генератор сам распределит.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5" customWidth="1" style="19" min="1" max="1"/>
  </cols>
  <sheetData>
    <row r="1" ht="27.75" customHeight="1" s="20">
      <c r="A1" s="21" t="inlineStr">
        <is>
          <t>📋 ШколаПлан — данные для расписания</t>
        </is>
      </c>
    </row>
    <row r="3" ht="15" customHeight="1" s="20">
      <c r="A3" s="22" t="n"/>
    </row>
    <row r="4" ht="21.75" customHeight="1" s="20">
      <c r="A4" s="23" t="inlineStr">
        <is>
          <t>Порядок заполнения</t>
        </is>
      </c>
    </row>
    <row r="5" ht="15" customHeight="1" s="20">
      <c r="A5" s="22" t="inlineStr">
        <is>
          <t>1. «Учебный план» — сколько часов каждого предмета в каждом классе.</t>
        </is>
      </c>
    </row>
    <row r="6" ht="15" customHeight="1" s="20">
      <c r="A6" s="22" t="inlineStr">
        <is>
          <t>2. «Учителя» — просто список ФИО.</t>
        </is>
      </c>
    </row>
    <row r="7" ht="15" customHeight="1" s="20">
      <c r="A7" s="22" t="inlineStr">
        <is>
          <t>3. «Распределение» — кто что ведёт. Часы подставляются из учебного плана автоматически.</t>
        </is>
      </c>
    </row>
    <row r="8" ht="15" customHeight="1" s="20">
      <c r="A8" s="22" t="inlineStr">
        <is>
          <t>4. «Ограничения» — если у учителя есть методический день или ограничения. Если нет — строку не создавайте.</t>
        </is>
      </c>
    </row>
    <row r="9" ht="15" customHeight="1" s="20">
      <c r="A9" s="22" t="inlineStr">
        <is>
          <t>5. «Кабинеты» — только профильные (физика, химия, инф., спортзал и т.п.). Обычные кабинеты не нужны.</t>
        </is>
      </c>
    </row>
    <row r="10" ht="15" customHeight="1" s="20">
      <c r="A10" s="22" t="n"/>
    </row>
    <row r="11" ht="21.75" customHeight="1" s="20">
      <c r="A11" s="23" t="inlineStr">
        <is>
          <t>Цвет ячеек</t>
        </is>
      </c>
    </row>
    <row r="12" ht="15" customHeight="1" s="20">
      <c r="A12" s="22" t="inlineStr">
        <is>
          <t>🟡 жёлтые — обязательные.  ⬜ серые — формула (не трогать).  🟢 зелёные — демо, удалите.</t>
        </is>
      </c>
    </row>
    <row r="13" ht="15" customHeight="1" s="20">
      <c r="A13" s="22" t="n"/>
    </row>
    <row r="14" ht="23.85" customHeight="1" s="20">
      <c r="A14" s="22" t="inlineStr">
        <is>
          <t>Если урок делится на группы (англ., инф-ка, технология) — заполняйте две строки с одним и тем же (предмет+класс), разными учителями. Оптимизатор сам поймёт, что это деление.</t>
        </is>
      </c>
    </row>
    <row r="15">
      <c r="A15" s="19" t="inlineStr"/>
    </row>
    <row r="16">
      <c r="A16" s="19" t="inlineStr">
        <is>
          <t>⚠️ Новое: лист «Классы» с количеством учеников, и колонки Вместимость/Этаж/Оборудование у кабинетов.</t>
        </is>
      </c>
    </row>
    <row r="17">
      <c r="A17" t="inlineStr"/>
    </row>
    <row r="18">
      <c r="A18" t="inlineStr">
        <is>
          <t>⚠️ Новое: колонка «Смена» в листе «Классы» (1 — первая смена, 2 — вторая).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S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5" customWidth="1" style="19" min="2" max="45"/>
  </cols>
  <sheetData>
    <row r="1" ht="30" customHeight="1" s="20">
      <c r="A1" s="24" t="inlineStr">
        <is>
          <t>Предмет</t>
        </is>
      </c>
      <c r="B1" s="24" t="inlineStr">
        <is>
          <t>1А</t>
        </is>
      </c>
      <c r="C1" s="24" t="inlineStr">
        <is>
          <t>1Б</t>
        </is>
      </c>
      <c r="D1" s="24" t="inlineStr">
        <is>
          <t>1В</t>
        </is>
      </c>
      <c r="E1" s="24" t="inlineStr">
        <is>
          <t>1Г</t>
        </is>
      </c>
      <c r="F1" s="24" t="inlineStr">
        <is>
          <t>2А</t>
        </is>
      </c>
      <c r="G1" s="24" t="inlineStr">
        <is>
          <t>2Б</t>
        </is>
      </c>
      <c r="H1" s="24" t="inlineStr">
        <is>
          <t>2В</t>
        </is>
      </c>
      <c r="I1" s="24" t="inlineStr">
        <is>
          <t>2Г</t>
        </is>
      </c>
      <c r="J1" s="24" t="inlineStr">
        <is>
          <t>3А</t>
        </is>
      </c>
      <c r="K1" s="24" t="inlineStr">
        <is>
          <t>3Б</t>
        </is>
      </c>
      <c r="L1" s="24" t="inlineStr">
        <is>
          <t>3В</t>
        </is>
      </c>
      <c r="M1" s="24" t="inlineStr">
        <is>
          <t>3Г</t>
        </is>
      </c>
      <c r="N1" s="24" t="inlineStr">
        <is>
          <t>4А</t>
        </is>
      </c>
      <c r="O1" s="24" t="inlineStr">
        <is>
          <t>4Б</t>
        </is>
      </c>
      <c r="P1" s="24" t="inlineStr">
        <is>
          <t>4В</t>
        </is>
      </c>
      <c r="Q1" s="24" t="inlineStr">
        <is>
          <t>4Г</t>
        </is>
      </c>
      <c r="R1" s="24" t="inlineStr">
        <is>
          <t>5А</t>
        </is>
      </c>
      <c r="S1" s="24" t="inlineStr">
        <is>
          <t>5Б</t>
        </is>
      </c>
      <c r="T1" s="24" t="inlineStr">
        <is>
          <t>5В</t>
        </is>
      </c>
      <c r="U1" s="24" t="inlineStr">
        <is>
          <t>5Г</t>
        </is>
      </c>
      <c r="V1" s="24" t="inlineStr">
        <is>
          <t>6А</t>
        </is>
      </c>
      <c r="W1" s="24" t="inlineStr">
        <is>
          <t>6Б</t>
        </is>
      </c>
      <c r="X1" s="24" t="inlineStr">
        <is>
          <t>6В</t>
        </is>
      </c>
      <c r="Y1" s="24" t="inlineStr">
        <is>
          <t>6Г</t>
        </is>
      </c>
      <c r="Z1" s="24" t="inlineStr">
        <is>
          <t>7А</t>
        </is>
      </c>
      <c r="AA1" s="24" t="inlineStr">
        <is>
          <t>7Б</t>
        </is>
      </c>
      <c r="AB1" s="24" t="inlineStr">
        <is>
          <t>7В</t>
        </is>
      </c>
      <c r="AC1" s="24" t="inlineStr">
        <is>
          <t>7Г</t>
        </is>
      </c>
      <c r="AD1" s="24" t="inlineStr">
        <is>
          <t>8А</t>
        </is>
      </c>
      <c r="AE1" s="24" t="inlineStr">
        <is>
          <t>8Б</t>
        </is>
      </c>
      <c r="AF1" s="24" t="inlineStr">
        <is>
          <t>8В</t>
        </is>
      </c>
      <c r="AG1" s="24" t="inlineStr">
        <is>
          <t>8Г</t>
        </is>
      </c>
      <c r="AH1" s="24" t="inlineStr">
        <is>
          <t>9А</t>
        </is>
      </c>
      <c r="AI1" s="24" t="inlineStr">
        <is>
          <t>9Б</t>
        </is>
      </c>
      <c r="AJ1" s="24" t="inlineStr">
        <is>
          <t>9В</t>
        </is>
      </c>
      <c r="AK1" s="24" t="inlineStr">
        <is>
          <t>9Г</t>
        </is>
      </c>
      <c r="AL1" s="24" t="inlineStr">
        <is>
          <t>10А</t>
        </is>
      </c>
      <c r="AM1" s="24" t="inlineStr">
        <is>
          <t>10Б</t>
        </is>
      </c>
      <c r="AN1" s="24" t="inlineStr">
        <is>
          <t>10В</t>
        </is>
      </c>
      <c r="AO1" s="24" t="inlineStr">
        <is>
          <t>10Г</t>
        </is>
      </c>
      <c r="AP1" s="24" t="inlineStr">
        <is>
          <t>11А</t>
        </is>
      </c>
      <c r="AQ1" s="24" t="inlineStr">
        <is>
          <t>11Б</t>
        </is>
      </c>
      <c r="AR1" s="24" t="inlineStr">
        <is>
          <t>11В</t>
        </is>
      </c>
      <c r="AS1" s="24" t="inlineStr">
        <is>
          <t>11Г</t>
        </is>
      </c>
    </row>
    <row r="2" ht="15" customHeight="1" s="20">
      <c r="A2" s="25" t="inlineStr">
        <is>
          <t>Русский язык</t>
        </is>
      </c>
      <c r="B2" s="26" t="n">
        <v>5</v>
      </c>
      <c r="C2" s="26" t="n">
        <v>5</v>
      </c>
      <c r="D2" s="26" t="n">
        <v>5</v>
      </c>
      <c r="E2" s="26" t="n">
        <v>5</v>
      </c>
      <c r="F2" s="26" t="n">
        <v>5</v>
      </c>
      <c r="G2" s="26" t="n">
        <v>5</v>
      </c>
      <c r="H2" s="26" t="n">
        <v>5</v>
      </c>
      <c r="I2" s="26" t="n">
        <v>5</v>
      </c>
      <c r="J2" s="26" t="n">
        <v>5</v>
      </c>
      <c r="K2" s="26" t="n">
        <v>5</v>
      </c>
      <c r="L2" s="26" t="n">
        <v>5</v>
      </c>
      <c r="M2" s="26" t="n">
        <v>5</v>
      </c>
      <c r="N2" s="26" t="n">
        <v>5</v>
      </c>
      <c r="O2" s="26" t="n">
        <v>5</v>
      </c>
      <c r="P2" s="26" t="n">
        <v>5</v>
      </c>
      <c r="Q2" s="26" t="n">
        <v>5</v>
      </c>
      <c r="R2" s="26" t="n">
        <v>5</v>
      </c>
      <c r="S2" s="26" t="n">
        <v>5</v>
      </c>
      <c r="T2" s="26" t="n">
        <v>5</v>
      </c>
      <c r="U2" s="26" t="n">
        <v>5</v>
      </c>
      <c r="V2" s="26" t="n">
        <v>6</v>
      </c>
      <c r="W2" s="26" t="n">
        <v>6</v>
      </c>
      <c r="X2" s="26" t="n">
        <v>6</v>
      </c>
      <c r="Y2" s="26" t="n">
        <v>6</v>
      </c>
      <c r="Z2" s="26" t="n">
        <v>4</v>
      </c>
      <c r="AA2" s="26" t="n">
        <v>4</v>
      </c>
      <c r="AB2" s="26" t="n">
        <v>4</v>
      </c>
      <c r="AC2" s="26" t="n">
        <v>4</v>
      </c>
      <c r="AD2" s="26" t="n">
        <v>3</v>
      </c>
      <c r="AE2" s="26" t="n">
        <v>3</v>
      </c>
      <c r="AF2" s="26" t="n">
        <v>3</v>
      </c>
      <c r="AG2" s="26" t="n">
        <v>3</v>
      </c>
      <c r="AH2" s="26" t="n">
        <v>3</v>
      </c>
      <c r="AI2" s="26" t="n">
        <v>3</v>
      </c>
      <c r="AJ2" s="26" t="n">
        <v>3</v>
      </c>
      <c r="AK2" s="26" t="n">
        <v>3</v>
      </c>
      <c r="AL2" s="26" t="n">
        <v>1</v>
      </c>
      <c r="AM2" s="26" t="n">
        <v>1</v>
      </c>
      <c r="AN2" s="26" t="n">
        <v>1</v>
      </c>
      <c r="AO2" s="26" t="n">
        <v>1</v>
      </c>
      <c r="AP2" s="26" t="n">
        <v>1</v>
      </c>
      <c r="AQ2" s="26" t="n">
        <v>1</v>
      </c>
      <c r="AR2" s="26" t="n">
        <v>1</v>
      </c>
      <c r="AS2" s="26" t="n">
        <v>1</v>
      </c>
    </row>
    <row r="3" ht="15" customHeight="1" s="20">
      <c r="A3" s="25" t="inlineStr">
        <is>
          <t>Литература</t>
        </is>
      </c>
      <c r="B3" s="26" t="n">
        <v>4</v>
      </c>
      <c r="C3" s="26" t="n">
        <v>4</v>
      </c>
      <c r="D3" s="26" t="n">
        <v>4</v>
      </c>
      <c r="E3" s="26" t="n">
        <v>4</v>
      </c>
      <c r="F3" s="26" t="n">
        <v>4</v>
      </c>
      <c r="G3" s="26" t="n">
        <v>4</v>
      </c>
      <c r="H3" s="26" t="n">
        <v>4</v>
      </c>
      <c r="I3" s="26" t="n">
        <v>4</v>
      </c>
      <c r="J3" s="26" t="n">
        <v>4</v>
      </c>
      <c r="K3" s="26" t="n">
        <v>4</v>
      </c>
      <c r="L3" s="26" t="n">
        <v>4</v>
      </c>
      <c r="M3" s="26" t="n">
        <v>4</v>
      </c>
      <c r="N3" s="26" t="n">
        <v>4</v>
      </c>
      <c r="O3" s="26" t="n">
        <v>4</v>
      </c>
      <c r="P3" s="26" t="n">
        <v>4</v>
      </c>
      <c r="Q3" s="26" t="n">
        <v>4</v>
      </c>
      <c r="R3" s="26" t="n">
        <v>3</v>
      </c>
      <c r="S3" s="26" t="n">
        <v>3</v>
      </c>
      <c r="T3" s="26" t="n">
        <v>3</v>
      </c>
      <c r="U3" s="26" t="n">
        <v>3</v>
      </c>
      <c r="V3" s="26" t="n">
        <v>3</v>
      </c>
      <c r="W3" s="26" t="n">
        <v>3</v>
      </c>
      <c r="X3" s="26" t="n">
        <v>3</v>
      </c>
      <c r="Y3" s="26" t="n">
        <v>3</v>
      </c>
      <c r="Z3" s="26" t="n">
        <v>2</v>
      </c>
      <c r="AA3" s="26" t="n">
        <v>2</v>
      </c>
      <c r="AB3" s="26" t="n">
        <v>2</v>
      </c>
      <c r="AC3" s="26" t="n">
        <v>2</v>
      </c>
      <c r="AD3" s="26" t="n">
        <v>2</v>
      </c>
      <c r="AE3" s="26" t="n">
        <v>2</v>
      </c>
      <c r="AF3" s="26" t="n">
        <v>2</v>
      </c>
      <c r="AG3" s="26" t="n">
        <v>2</v>
      </c>
      <c r="AH3" s="26" t="n">
        <v>3</v>
      </c>
      <c r="AI3" s="26" t="n">
        <v>3</v>
      </c>
      <c r="AJ3" s="26" t="n">
        <v>3</v>
      </c>
      <c r="AK3" s="26" t="n">
        <v>3</v>
      </c>
      <c r="AL3" s="26" t="n">
        <v>3</v>
      </c>
      <c r="AM3" s="26" t="n">
        <v>3</v>
      </c>
      <c r="AN3" s="26" t="n">
        <v>3</v>
      </c>
      <c r="AO3" s="26" t="n">
        <v>3</v>
      </c>
      <c r="AP3" s="26" t="n">
        <v>3</v>
      </c>
      <c r="AQ3" s="26" t="n">
        <v>3</v>
      </c>
      <c r="AR3" s="26" t="n">
        <v>3</v>
      </c>
      <c r="AS3" s="26" t="n">
        <v>3</v>
      </c>
    </row>
    <row r="4" ht="15" customHeight="1" s="20">
      <c r="A4" s="25" t="inlineStr">
        <is>
          <t>Иностранный язык</t>
        </is>
      </c>
      <c r="B4" s="27" t="n"/>
      <c r="C4" s="27" t="n"/>
      <c r="D4" s="27" t="n"/>
      <c r="E4" s="27" t="n"/>
      <c r="F4" s="26" t="n">
        <v>2</v>
      </c>
      <c r="G4" s="26" t="n">
        <v>2</v>
      </c>
      <c r="H4" s="26" t="n">
        <v>2</v>
      </c>
      <c r="I4" s="26" t="n">
        <v>2</v>
      </c>
      <c r="J4" s="26" t="n">
        <v>2</v>
      </c>
      <c r="K4" s="26" t="n">
        <v>2</v>
      </c>
      <c r="L4" s="26" t="n">
        <v>2</v>
      </c>
      <c r="M4" s="26" t="n">
        <v>2</v>
      </c>
      <c r="N4" s="26" t="n">
        <v>2</v>
      </c>
      <c r="O4" s="26" t="n">
        <v>2</v>
      </c>
      <c r="P4" s="26" t="n">
        <v>2</v>
      </c>
      <c r="Q4" s="26" t="n">
        <v>2</v>
      </c>
      <c r="R4" s="26" t="n">
        <v>3</v>
      </c>
      <c r="S4" s="26" t="n">
        <v>3</v>
      </c>
      <c r="T4" s="26" t="n">
        <v>3</v>
      </c>
      <c r="U4" s="26" t="n">
        <v>3</v>
      </c>
      <c r="V4" s="26" t="n">
        <v>3</v>
      </c>
      <c r="W4" s="26" t="n">
        <v>3</v>
      </c>
      <c r="X4" s="26" t="n">
        <v>3</v>
      </c>
      <c r="Y4" s="26" t="n">
        <v>3</v>
      </c>
      <c r="Z4" s="26" t="n">
        <v>3</v>
      </c>
      <c r="AA4" s="26" t="n">
        <v>3</v>
      </c>
      <c r="AB4" s="26" t="n">
        <v>3</v>
      </c>
      <c r="AC4" s="26" t="n">
        <v>3</v>
      </c>
      <c r="AD4" s="26" t="n">
        <v>3</v>
      </c>
      <c r="AE4" s="26" t="n">
        <v>3</v>
      </c>
      <c r="AF4" s="26" t="n">
        <v>3</v>
      </c>
      <c r="AG4" s="26" t="n">
        <v>3</v>
      </c>
      <c r="AH4" s="26" t="n">
        <v>3</v>
      </c>
      <c r="AI4" s="26" t="n">
        <v>3</v>
      </c>
      <c r="AJ4" s="26" t="n">
        <v>3</v>
      </c>
      <c r="AK4" s="26" t="n">
        <v>3</v>
      </c>
      <c r="AL4" s="26" t="n">
        <v>3</v>
      </c>
      <c r="AM4" s="26" t="n">
        <v>3</v>
      </c>
      <c r="AN4" s="26" t="n">
        <v>3</v>
      </c>
      <c r="AO4" s="26" t="n">
        <v>3</v>
      </c>
      <c r="AP4" s="26" t="n">
        <v>3</v>
      </c>
      <c r="AQ4" s="26" t="n">
        <v>3</v>
      </c>
      <c r="AR4" s="26" t="n">
        <v>3</v>
      </c>
      <c r="AS4" s="26" t="n">
        <v>3</v>
      </c>
    </row>
    <row r="5" ht="15" customHeight="1" s="20">
      <c r="A5" s="25" t="inlineStr">
        <is>
          <t>Математика</t>
        </is>
      </c>
      <c r="B5" s="26" t="n">
        <v>4</v>
      </c>
      <c r="C5" s="26" t="n">
        <v>4</v>
      </c>
      <c r="D5" s="26" t="n">
        <v>4</v>
      </c>
      <c r="E5" s="26" t="n">
        <v>4</v>
      </c>
      <c r="F5" s="26" t="n">
        <v>4</v>
      </c>
      <c r="G5" s="26" t="n">
        <v>4</v>
      </c>
      <c r="H5" s="26" t="n">
        <v>4</v>
      </c>
      <c r="I5" s="26" t="n">
        <v>4</v>
      </c>
      <c r="J5" s="26" t="n">
        <v>4</v>
      </c>
      <c r="K5" s="26" t="n">
        <v>4</v>
      </c>
      <c r="L5" s="26" t="n">
        <v>4</v>
      </c>
      <c r="M5" s="26" t="n">
        <v>4</v>
      </c>
      <c r="N5" s="26" t="n">
        <v>4</v>
      </c>
      <c r="O5" s="26" t="n">
        <v>4</v>
      </c>
      <c r="P5" s="26" t="n">
        <v>4</v>
      </c>
      <c r="Q5" s="26" t="n">
        <v>4</v>
      </c>
      <c r="R5" s="26" t="n">
        <v>5</v>
      </c>
      <c r="S5" s="26" t="n">
        <v>5</v>
      </c>
      <c r="T5" s="26" t="n">
        <v>5</v>
      </c>
      <c r="U5" s="26" t="n">
        <v>5</v>
      </c>
      <c r="V5" s="26" t="n">
        <v>5</v>
      </c>
      <c r="W5" s="26" t="n">
        <v>5</v>
      </c>
      <c r="X5" s="26" t="n">
        <v>5</v>
      </c>
      <c r="Y5" s="26" t="n">
        <v>5</v>
      </c>
      <c r="Z5" s="27" t="n"/>
      <c r="AA5" s="27" t="n"/>
      <c r="AB5" s="27" t="n"/>
      <c r="AC5" s="27" t="n"/>
      <c r="AD5" s="27" t="n"/>
      <c r="AE5" s="27" t="n"/>
      <c r="AF5" s="27" t="n"/>
      <c r="AG5" s="27" t="n"/>
      <c r="AH5" s="27" t="n"/>
      <c r="AI5" s="27" t="n"/>
      <c r="AJ5" s="27" t="n"/>
      <c r="AK5" s="27" t="n"/>
      <c r="AL5" s="26" t="n">
        <v>5</v>
      </c>
      <c r="AM5" s="26" t="n">
        <v>5</v>
      </c>
      <c r="AN5" s="26" t="n">
        <v>5</v>
      </c>
      <c r="AO5" s="26" t="n">
        <v>5</v>
      </c>
      <c r="AP5" s="26" t="n">
        <v>5</v>
      </c>
      <c r="AQ5" s="26" t="n">
        <v>5</v>
      </c>
      <c r="AR5" s="26" t="n">
        <v>5</v>
      </c>
      <c r="AS5" s="26" t="n">
        <v>5</v>
      </c>
    </row>
    <row r="6" ht="15" customHeight="1" s="20">
      <c r="A6" s="25" t="inlineStr">
        <is>
          <t>Алгебра</t>
        </is>
      </c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6" t="n">
        <v>3</v>
      </c>
      <c r="AA6" s="26" t="n">
        <v>3</v>
      </c>
      <c r="AB6" s="26" t="n">
        <v>3</v>
      </c>
      <c r="AC6" s="26" t="n">
        <v>3</v>
      </c>
      <c r="AD6" s="26" t="n">
        <v>3</v>
      </c>
      <c r="AE6" s="26" t="n">
        <v>3</v>
      </c>
      <c r="AF6" s="26" t="n">
        <v>3</v>
      </c>
      <c r="AG6" s="26" t="n">
        <v>3</v>
      </c>
      <c r="AH6" s="26" t="n">
        <v>3</v>
      </c>
      <c r="AI6" s="26" t="n">
        <v>3</v>
      </c>
      <c r="AJ6" s="26" t="n">
        <v>3</v>
      </c>
      <c r="AK6" s="26" t="n">
        <v>3</v>
      </c>
      <c r="AL6" s="27" t="n"/>
      <c r="AM6" s="27" t="n"/>
      <c r="AN6" s="27" t="n"/>
      <c r="AO6" s="27" t="n"/>
      <c r="AP6" s="27" t="n"/>
      <c r="AQ6" s="27" t="n"/>
      <c r="AR6" s="27" t="n"/>
      <c r="AS6" s="27" t="n"/>
    </row>
    <row r="7" ht="15" customHeight="1" s="20">
      <c r="A7" s="25" t="inlineStr">
        <is>
          <t>Геометрия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6" t="n">
        <v>2</v>
      </c>
      <c r="AA7" s="26" t="n">
        <v>2</v>
      </c>
      <c r="AB7" s="26" t="n">
        <v>2</v>
      </c>
      <c r="AC7" s="26" t="n">
        <v>2</v>
      </c>
      <c r="AD7" s="26" t="n">
        <v>2</v>
      </c>
      <c r="AE7" s="26" t="n">
        <v>2</v>
      </c>
      <c r="AF7" s="26" t="n">
        <v>2</v>
      </c>
      <c r="AG7" s="26" t="n">
        <v>2</v>
      </c>
      <c r="AH7" s="26" t="n">
        <v>2</v>
      </c>
      <c r="AI7" s="26" t="n">
        <v>2</v>
      </c>
      <c r="AJ7" s="26" t="n">
        <v>2</v>
      </c>
      <c r="AK7" s="26" t="n">
        <v>2</v>
      </c>
      <c r="AL7" s="27" t="n"/>
      <c r="AM7" s="27" t="n"/>
      <c r="AN7" s="27" t="n"/>
      <c r="AO7" s="27" t="n"/>
      <c r="AP7" s="27" t="n"/>
      <c r="AQ7" s="27" t="n"/>
      <c r="AR7" s="27" t="n"/>
      <c r="AS7" s="27" t="n"/>
    </row>
    <row r="8" ht="23.85" customHeight="1" s="20">
      <c r="A8" s="25" t="inlineStr">
        <is>
          <t>Вероятность и статистика</t>
        </is>
      </c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6" t="n">
        <v>1</v>
      </c>
      <c r="AA8" s="26" t="n">
        <v>1</v>
      </c>
      <c r="AB8" s="26" t="n">
        <v>1</v>
      </c>
      <c r="AC8" s="26" t="n">
        <v>1</v>
      </c>
      <c r="AD8" s="26" t="n">
        <v>1</v>
      </c>
      <c r="AE8" s="26" t="n">
        <v>1</v>
      </c>
      <c r="AF8" s="26" t="n">
        <v>1</v>
      </c>
      <c r="AG8" s="26" t="n">
        <v>1</v>
      </c>
      <c r="AH8" s="26" t="n">
        <v>1</v>
      </c>
      <c r="AI8" s="26" t="n">
        <v>1</v>
      </c>
      <c r="AJ8" s="26" t="n">
        <v>1</v>
      </c>
      <c r="AK8" s="26" t="n">
        <v>1</v>
      </c>
      <c r="AL8" s="27" t="n"/>
      <c r="AM8" s="27" t="n"/>
      <c r="AN8" s="27" t="n"/>
      <c r="AO8" s="27" t="n"/>
      <c r="AP8" s="27" t="n"/>
      <c r="AQ8" s="27" t="n"/>
      <c r="AR8" s="27" t="n"/>
      <c r="AS8" s="27" t="n"/>
    </row>
    <row r="9" ht="15" customHeight="1" s="20">
      <c r="A9" s="25" t="inlineStr">
        <is>
          <t>Информатика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6" t="n">
        <v>1</v>
      </c>
      <c r="AA9" s="26" t="n">
        <v>1</v>
      </c>
      <c r="AB9" s="26" t="n">
        <v>1</v>
      </c>
      <c r="AC9" s="26" t="n">
        <v>1</v>
      </c>
      <c r="AD9" s="26" t="n">
        <v>1</v>
      </c>
      <c r="AE9" s="26" t="n">
        <v>1</v>
      </c>
      <c r="AF9" s="26" t="n">
        <v>1</v>
      </c>
      <c r="AG9" s="26" t="n">
        <v>1</v>
      </c>
      <c r="AH9" s="26" t="n">
        <v>1</v>
      </c>
      <c r="AI9" s="26" t="n">
        <v>1</v>
      </c>
      <c r="AJ9" s="26" t="n">
        <v>1</v>
      </c>
      <c r="AK9" s="26" t="n">
        <v>1</v>
      </c>
      <c r="AL9" s="26" t="n">
        <v>1</v>
      </c>
      <c r="AM9" s="26" t="n">
        <v>1</v>
      </c>
      <c r="AN9" s="26" t="n">
        <v>1</v>
      </c>
      <c r="AO9" s="26" t="n">
        <v>1</v>
      </c>
      <c r="AP9" s="26" t="n">
        <v>1</v>
      </c>
      <c r="AQ9" s="26" t="n">
        <v>1</v>
      </c>
      <c r="AR9" s="26" t="n">
        <v>1</v>
      </c>
      <c r="AS9" s="26" t="n">
        <v>1</v>
      </c>
    </row>
    <row r="10" ht="15" customHeight="1" s="20">
      <c r="A10" s="25" t="inlineStr">
        <is>
          <t>История</t>
        </is>
      </c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6" t="n">
        <v>2</v>
      </c>
      <c r="S10" s="26" t="n">
        <v>2</v>
      </c>
      <c r="T10" s="26" t="n">
        <v>2</v>
      </c>
      <c r="U10" s="26" t="n">
        <v>2</v>
      </c>
      <c r="V10" s="26" t="n">
        <v>2</v>
      </c>
      <c r="W10" s="26" t="n">
        <v>2</v>
      </c>
      <c r="X10" s="26" t="n">
        <v>2</v>
      </c>
      <c r="Y10" s="26" t="n">
        <v>2</v>
      </c>
      <c r="Z10" s="26" t="n">
        <v>2</v>
      </c>
      <c r="AA10" s="26" t="n">
        <v>2</v>
      </c>
      <c r="AB10" s="26" t="n">
        <v>2</v>
      </c>
      <c r="AC10" s="26" t="n">
        <v>2</v>
      </c>
      <c r="AD10" s="26" t="n">
        <v>2</v>
      </c>
      <c r="AE10" s="26" t="n">
        <v>2</v>
      </c>
      <c r="AF10" s="26" t="n">
        <v>2</v>
      </c>
      <c r="AG10" s="26" t="n">
        <v>2</v>
      </c>
      <c r="AH10" s="26" t="n">
        <v>2</v>
      </c>
      <c r="AI10" s="26" t="n">
        <v>2</v>
      </c>
      <c r="AJ10" s="26" t="n">
        <v>2</v>
      </c>
      <c r="AK10" s="26" t="n">
        <v>2</v>
      </c>
      <c r="AL10" s="26" t="n">
        <v>2</v>
      </c>
      <c r="AM10" s="26" t="n">
        <v>2</v>
      </c>
      <c r="AN10" s="26" t="n">
        <v>2</v>
      </c>
      <c r="AO10" s="26" t="n">
        <v>2</v>
      </c>
      <c r="AP10" s="26" t="n">
        <v>2</v>
      </c>
      <c r="AQ10" s="26" t="n">
        <v>2</v>
      </c>
      <c r="AR10" s="26" t="n">
        <v>2</v>
      </c>
      <c r="AS10" s="26" t="n">
        <v>2</v>
      </c>
    </row>
    <row r="11" ht="15" customHeight="1" s="20">
      <c r="A11" s="25" t="inlineStr">
        <is>
          <t>Обществознание</t>
        </is>
      </c>
      <c r="B11" s="27" t="n"/>
      <c r="C11" s="27" t="n"/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6" t="n">
        <v>1</v>
      </c>
      <c r="W11" s="26" t="n">
        <v>1</v>
      </c>
      <c r="X11" s="26" t="n">
        <v>1</v>
      </c>
      <c r="Y11" s="26" t="n">
        <v>1</v>
      </c>
      <c r="Z11" s="26" t="n">
        <v>1</v>
      </c>
      <c r="AA11" s="26" t="n">
        <v>1</v>
      </c>
      <c r="AB11" s="26" t="n">
        <v>1</v>
      </c>
      <c r="AC11" s="26" t="n">
        <v>1</v>
      </c>
      <c r="AD11" s="26" t="n">
        <v>1</v>
      </c>
      <c r="AE11" s="26" t="n">
        <v>1</v>
      </c>
      <c r="AF11" s="26" t="n">
        <v>1</v>
      </c>
      <c r="AG11" s="26" t="n">
        <v>1</v>
      </c>
      <c r="AH11" s="26" t="n">
        <v>1</v>
      </c>
      <c r="AI11" s="26" t="n">
        <v>1</v>
      </c>
      <c r="AJ11" s="26" t="n">
        <v>1</v>
      </c>
      <c r="AK11" s="26" t="n">
        <v>1</v>
      </c>
      <c r="AL11" s="26" t="n">
        <v>2</v>
      </c>
      <c r="AM11" s="26" t="n">
        <v>2</v>
      </c>
      <c r="AN11" s="26" t="n">
        <v>2</v>
      </c>
      <c r="AO11" s="26" t="n">
        <v>2</v>
      </c>
      <c r="AP11" s="26" t="n">
        <v>2</v>
      </c>
      <c r="AQ11" s="26" t="n">
        <v>2</v>
      </c>
      <c r="AR11" s="26" t="n">
        <v>2</v>
      </c>
      <c r="AS11" s="26" t="n">
        <v>2</v>
      </c>
    </row>
    <row r="12" ht="15" customHeight="1" s="20">
      <c r="A12" s="25" t="inlineStr">
        <is>
          <t>География</t>
        </is>
      </c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6" t="n">
        <v>1</v>
      </c>
      <c r="S12" s="26" t="n">
        <v>1</v>
      </c>
      <c r="T12" s="26" t="n">
        <v>1</v>
      </c>
      <c r="U12" s="26" t="n">
        <v>1</v>
      </c>
      <c r="V12" s="26" t="n">
        <v>1</v>
      </c>
      <c r="W12" s="26" t="n">
        <v>1</v>
      </c>
      <c r="X12" s="26" t="n">
        <v>1</v>
      </c>
      <c r="Y12" s="26" t="n">
        <v>1</v>
      </c>
      <c r="Z12" s="26" t="n">
        <v>2</v>
      </c>
      <c r="AA12" s="26" t="n">
        <v>2</v>
      </c>
      <c r="AB12" s="26" t="n">
        <v>2</v>
      </c>
      <c r="AC12" s="26" t="n">
        <v>2</v>
      </c>
      <c r="AD12" s="26" t="n">
        <v>2</v>
      </c>
      <c r="AE12" s="26" t="n">
        <v>2</v>
      </c>
      <c r="AF12" s="26" t="n">
        <v>2</v>
      </c>
      <c r="AG12" s="26" t="n">
        <v>2</v>
      </c>
      <c r="AH12" s="26" t="n">
        <v>2</v>
      </c>
      <c r="AI12" s="26" t="n">
        <v>2</v>
      </c>
      <c r="AJ12" s="26" t="n">
        <v>2</v>
      </c>
      <c r="AK12" s="26" t="n">
        <v>2</v>
      </c>
      <c r="AL12" s="26" t="n">
        <v>1</v>
      </c>
      <c r="AM12" s="26" t="n">
        <v>1</v>
      </c>
      <c r="AN12" s="26" t="n">
        <v>1</v>
      </c>
      <c r="AO12" s="26" t="n">
        <v>1</v>
      </c>
      <c r="AP12" s="26" t="n">
        <v>1</v>
      </c>
      <c r="AQ12" s="26" t="n">
        <v>1</v>
      </c>
      <c r="AR12" s="26" t="n">
        <v>1</v>
      </c>
      <c r="AS12" s="26" t="n">
        <v>1</v>
      </c>
    </row>
    <row r="13" ht="15" customHeight="1" s="20">
      <c r="A13" s="25" t="inlineStr">
        <is>
          <t>Физика</t>
        </is>
      </c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6" t="n">
        <v>2</v>
      </c>
      <c r="AA13" s="26" t="n">
        <v>2</v>
      </c>
      <c r="AB13" s="26" t="n">
        <v>2</v>
      </c>
      <c r="AC13" s="26" t="n">
        <v>2</v>
      </c>
      <c r="AD13" s="26" t="n">
        <v>2</v>
      </c>
      <c r="AE13" s="26" t="n">
        <v>2</v>
      </c>
      <c r="AF13" s="26" t="n">
        <v>2</v>
      </c>
      <c r="AG13" s="26" t="n">
        <v>2</v>
      </c>
      <c r="AH13" s="26" t="n">
        <v>3</v>
      </c>
      <c r="AI13" s="26" t="n">
        <v>3</v>
      </c>
      <c r="AJ13" s="26" t="n">
        <v>3</v>
      </c>
      <c r="AK13" s="26" t="n">
        <v>3</v>
      </c>
      <c r="AL13" s="26" t="n">
        <v>2</v>
      </c>
      <c r="AM13" s="26" t="n">
        <v>2</v>
      </c>
      <c r="AN13" s="26" t="n">
        <v>2</v>
      </c>
      <c r="AO13" s="26" t="n">
        <v>2</v>
      </c>
      <c r="AP13" s="26" t="n">
        <v>2</v>
      </c>
      <c r="AQ13" s="26" t="n">
        <v>2</v>
      </c>
      <c r="AR13" s="26" t="n">
        <v>2</v>
      </c>
      <c r="AS13" s="26" t="n">
        <v>2</v>
      </c>
    </row>
    <row r="14" ht="15" customHeight="1" s="20">
      <c r="A14" s="25" t="inlineStr">
        <is>
          <t>Астрономия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6" t="n">
        <v>1</v>
      </c>
      <c r="AQ14" s="26" t="n">
        <v>1</v>
      </c>
      <c r="AR14" s="26" t="n">
        <v>1</v>
      </c>
      <c r="AS14" s="26" t="n">
        <v>1</v>
      </c>
    </row>
    <row r="15" ht="15" customHeight="1" s="20">
      <c r="A15" s="25" t="inlineStr">
        <is>
          <t>Химия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6" t="n">
        <v>2</v>
      </c>
      <c r="AE15" s="26" t="n">
        <v>2</v>
      </c>
      <c r="AF15" s="26" t="n">
        <v>2</v>
      </c>
      <c r="AG15" s="26" t="n">
        <v>2</v>
      </c>
      <c r="AH15" s="26" t="n">
        <v>2</v>
      </c>
      <c r="AI15" s="26" t="n">
        <v>2</v>
      </c>
      <c r="AJ15" s="26" t="n">
        <v>2</v>
      </c>
      <c r="AK15" s="26" t="n">
        <v>2</v>
      </c>
      <c r="AL15" s="26" t="n">
        <v>1</v>
      </c>
      <c r="AM15" s="26" t="n">
        <v>1</v>
      </c>
      <c r="AN15" s="26" t="n">
        <v>1</v>
      </c>
      <c r="AO15" s="26" t="n">
        <v>1</v>
      </c>
      <c r="AP15" s="26" t="n">
        <v>1</v>
      </c>
      <c r="AQ15" s="26" t="n">
        <v>1</v>
      </c>
      <c r="AR15" s="26" t="n">
        <v>1</v>
      </c>
      <c r="AS15" s="26" t="n">
        <v>1</v>
      </c>
    </row>
    <row r="16" ht="15" customHeight="1" s="20">
      <c r="A16" s="25" t="inlineStr">
        <is>
          <t>Биология</t>
        </is>
      </c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6" t="n">
        <v>1</v>
      </c>
      <c r="S16" s="26" t="n">
        <v>1</v>
      </c>
      <c r="T16" s="26" t="n">
        <v>1</v>
      </c>
      <c r="U16" s="26" t="n">
        <v>1</v>
      </c>
      <c r="V16" s="26" t="n">
        <v>1</v>
      </c>
      <c r="W16" s="26" t="n">
        <v>1</v>
      </c>
      <c r="X16" s="26" t="n">
        <v>1</v>
      </c>
      <c r="Y16" s="26" t="n">
        <v>1</v>
      </c>
      <c r="Z16" s="26" t="n">
        <v>1</v>
      </c>
      <c r="AA16" s="26" t="n">
        <v>1</v>
      </c>
      <c r="AB16" s="26" t="n">
        <v>1</v>
      </c>
      <c r="AC16" s="26" t="n">
        <v>1</v>
      </c>
      <c r="AD16" s="26" t="n">
        <v>2</v>
      </c>
      <c r="AE16" s="26" t="n">
        <v>2</v>
      </c>
      <c r="AF16" s="26" t="n">
        <v>2</v>
      </c>
      <c r="AG16" s="26" t="n">
        <v>2</v>
      </c>
      <c r="AH16" s="26" t="n">
        <v>2</v>
      </c>
      <c r="AI16" s="26" t="n">
        <v>2</v>
      </c>
      <c r="AJ16" s="26" t="n">
        <v>2</v>
      </c>
      <c r="AK16" s="26" t="n">
        <v>2</v>
      </c>
      <c r="AL16" s="26" t="n">
        <v>1</v>
      </c>
      <c r="AM16" s="26" t="n">
        <v>1</v>
      </c>
      <c r="AN16" s="26" t="n">
        <v>1</v>
      </c>
      <c r="AO16" s="26" t="n">
        <v>1</v>
      </c>
      <c r="AP16" s="26" t="n">
        <v>1</v>
      </c>
      <c r="AQ16" s="26" t="n">
        <v>1</v>
      </c>
      <c r="AR16" s="26" t="n">
        <v>1</v>
      </c>
      <c r="AS16" s="26" t="n">
        <v>1</v>
      </c>
    </row>
    <row r="17" ht="15" customHeight="1" s="20">
      <c r="A17" s="25" t="inlineStr">
        <is>
          <t>Музыка</t>
        </is>
      </c>
      <c r="B17" s="26" t="n">
        <v>1</v>
      </c>
      <c r="C17" s="26" t="n">
        <v>1</v>
      </c>
      <c r="D17" s="26" t="n">
        <v>1</v>
      </c>
      <c r="E17" s="26" t="n">
        <v>1</v>
      </c>
      <c r="F17" s="26" t="n">
        <v>1</v>
      </c>
      <c r="G17" s="26" t="n">
        <v>1</v>
      </c>
      <c r="H17" s="26" t="n">
        <v>1</v>
      </c>
      <c r="I17" s="26" t="n">
        <v>1</v>
      </c>
      <c r="J17" s="26" t="n">
        <v>1</v>
      </c>
      <c r="K17" s="26" t="n">
        <v>1</v>
      </c>
      <c r="L17" s="26" t="n">
        <v>1</v>
      </c>
      <c r="M17" s="26" t="n">
        <v>1</v>
      </c>
      <c r="N17" s="26" t="n">
        <v>1</v>
      </c>
      <c r="O17" s="26" t="n">
        <v>1</v>
      </c>
      <c r="P17" s="26" t="n">
        <v>1</v>
      </c>
      <c r="Q17" s="26" t="n">
        <v>1</v>
      </c>
      <c r="R17" s="26" t="n">
        <v>1</v>
      </c>
      <c r="S17" s="26" t="n">
        <v>1</v>
      </c>
      <c r="T17" s="26" t="n">
        <v>1</v>
      </c>
      <c r="U17" s="26" t="n">
        <v>1</v>
      </c>
      <c r="V17" s="26" t="n">
        <v>1</v>
      </c>
      <c r="W17" s="26" t="n">
        <v>1</v>
      </c>
      <c r="X17" s="26" t="n">
        <v>1</v>
      </c>
      <c r="Y17" s="26" t="n">
        <v>1</v>
      </c>
      <c r="Z17" s="26" t="n">
        <v>1</v>
      </c>
      <c r="AA17" s="26" t="n">
        <v>1</v>
      </c>
      <c r="AB17" s="26" t="n">
        <v>1</v>
      </c>
      <c r="AC17" s="26" t="n">
        <v>1</v>
      </c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</row>
    <row r="18" ht="15" customHeight="1" s="20">
      <c r="A18" s="25" t="inlineStr">
        <is>
          <t>ИЗО</t>
        </is>
      </c>
      <c r="B18" s="26" t="n">
        <v>1</v>
      </c>
      <c r="C18" s="26" t="n">
        <v>1</v>
      </c>
      <c r="D18" s="26" t="n">
        <v>1</v>
      </c>
      <c r="E18" s="26" t="n">
        <v>1</v>
      </c>
      <c r="F18" s="26" t="n">
        <v>1</v>
      </c>
      <c r="G18" s="26" t="n">
        <v>1</v>
      </c>
      <c r="H18" s="26" t="n">
        <v>1</v>
      </c>
      <c r="I18" s="26" t="n">
        <v>1</v>
      </c>
      <c r="J18" s="26" t="n">
        <v>1</v>
      </c>
      <c r="K18" s="26" t="n">
        <v>1</v>
      </c>
      <c r="L18" s="26" t="n">
        <v>1</v>
      </c>
      <c r="M18" s="26" t="n">
        <v>1</v>
      </c>
      <c r="N18" s="26" t="n">
        <v>1</v>
      </c>
      <c r="O18" s="26" t="n">
        <v>1</v>
      </c>
      <c r="P18" s="26" t="n">
        <v>1</v>
      </c>
      <c r="Q18" s="26" t="n">
        <v>1</v>
      </c>
      <c r="R18" s="26" t="n">
        <v>1</v>
      </c>
      <c r="S18" s="26" t="n">
        <v>1</v>
      </c>
      <c r="T18" s="26" t="n">
        <v>1</v>
      </c>
      <c r="U18" s="26" t="n">
        <v>1</v>
      </c>
      <c r="V18" s="26" t="n">
        <v>1</v>
      </c>
      <c r="W18" s="26" t="n">
        <v>1</v>
      </c>
      <c r="X18" s="26" t="n">
        <v>1</v>
      </c>
      <c r="Y18" s="26" t="n">
        <v>1</v>
      </c>
      <c r="Z18" s="26" t="n">
        <v>1</v>
      </c>
      <c r="AA18" s="26" t="n">
        <v>1</v>
      </c>
      <c r="AB18" s="26" t="n">
        <v>1</v>
      </c>
      <c r="AC18" s="26" t="n">
        <v>1</v>
      </c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</row>
    <row r="19" ht="15" customHeight="1" s="20">
      <c r="A19" s="25" t="inlineStr">
        <is>
          <t>Технология</t>
        </is>
      </c>
      <c r="B19" s="26" t="n">
        <v>1</v>
      </c>
      <c r="C19" s="26" t="n">
        <v>1</v>
      </c>
      <c r="D19" s="26" t="n">
        <v>1</v>
      </c>
      <c r="E19" s="26" t="n">
        <v>1</v>
      </c>
      <c r="F19" s="26" t="n">
        <v>1</v>
      </c>
      <c r="G19" s="26" t="n">
        <v>1</v>
      </c>
      <c r="H19" s="26" t="n">
        <v>1</v>
      </c>
      <c r="I19" s="26" t="n">
        <v>1</v>
      </c>
      <c r="J19" s="26" t="n">
        <v>1</v>
      </c>
      <c r="K19" s="26" t="n">
        <v>1</v>
      </c>
      <c r="L19" s="26" t="n">
        <v>1</v>
      </c>
      <c r="M19" s="26" t="n">
        <v>1</v>
      </c>
      <c r="N19" s="26" t="n">
        <v>1</v>
      </c>
      <c r="O19" s="26" t="n">
        <v>1</v>
      </c>
      <c r="P19" s="26" t="n">
        <v>1</v>
      </c>
      <c r="Q19" s="26" t="n">
        <v>1</v>
      </c>
      <c r="R19" s="26" t="n">
        <v>2</v>
      </c>
      <c r="S19" s="26" t="n">
        <v>2</v>
      </c>
      <c r="T19" s="26" t="n">
        <v>2</v>
      </c>
      <c r="U19" s="26" t="n">
        <v>2</v>
      </c>
      <c r="V19" s="26" t="n">
        <v>2</v>
      </c>
      <c r="W19" s="26" t="n">
        <v>2</v>
      </c>
      <c r="X19" s="26" t="n">
        <v>2</v>
      </c>
      <c r="Y19" s="26" t="n">
        <v>2</v>
      </c>
      <c r="Z19" s="26" t="n">
        <v>2</v>
      </c>
      <c r="AA19" s="26" t="n">
        <v>2</v>
      </c>
      <c r="AB19" s="26" t="n">
        <v>2</v>
      </c>
      <c r="AC19" s="26" t="n">
        <v>2</v>
      </c>
      <c r="AD19" s="26" t="n">
        <v>1</v>
      </c>
      <c r="AE19" s="26" t="n">
        <v>1</v>
      </c>
      <c r="AF19" s="26" t="n">
        <v>1</v>
      </c>
      <c r="AG19" s="26" t="n">
        <v>1</v>
      </c>
      <c r="AH19" s="26" t="n">
        <v>1</v>
      </c>
      <c r="AI19" s="26" t="n">
        <v>1</v>
      </c>
      <c r="AJ19" s="26" t="n">
        <v>1</v>
      </c>
      <c r="AK19" s="26" t="n">
        <v>1</v>
      </c>
      <c r="AL19" s="27" t="n"/>
      <c r="AM19" s="27" t="n"/>
      <c r="AN19" s="27" t="n"/>
      <c r="AO19" s="27" t="n"/>
      <c r="AP19" s="27" t="n"/>
      <c r="AQ19" s="27" t="n"/>
      <c r="AR19" s="27" t="n"/>
      <c r="AS19" s="27" t="n"/>
    </row>
    <row r="20" ht="15" customHeight="1" s="20">
      <c r="A20" s="25" t="inlineStr">
        <is>
          <t>Физическая культура</t>
        </is>
      </c>
      <c r="B20" s="26" t="n">
        <v>2</v>
      </c>
      <c r="C20" s="26" t="n">
        <v>2</v>
      </c>
      <c r="D20" s="26" t="n">
        <v>2</v>
      </c>
      <c r="E20" s="26" t="n">
        <v>2</v>
      </c>
      <c r="F20" s="26" t="n">
        <v>2</v>
      </c>
      <c r="G20" s="26" t="n">
        <v>2</v>
      </c>
      <c r="H20" s="26" t="n">
        <v>2</v>
      </c>
      <c r="I20" s="26" t="n">
        <v>2</v>
      </c>
      <c r="J20" s="26" t="n">
        <v>2</v>
      </c>
      <c r="K20" s="26" t="n">
        <v>2</v>
      </c>
      <c r="L20" s="26" t="n">
        <v>2</v>
      </c>
      <c r="M20" s="26" t="n">
        <v>2</v>
      </c>
      <c r="N20" s="26" t="n">
        <v>2</v>
      </c>
      <c r="O20" s="26" t="n">
        <v>2</v>
      </c>
      <c r="P20" s="26" t="n">
        <v>2</v>
      </c>
      <c r="Q20" s="26" t="n">
        <v>2</v>
      </c>
      <c r="R20" s="26" t="n">
        <v>2</v>
      </c>
      <c r="S20" s="26" t="n">
        <v>2</v>
      </c>
      <c r="T20" s="26" t="n">
        <v>2</v>
      </c>
      <c r="U20" s="26" t="n">
        <v>2</v>
      </c>
      <c r="V20" s="26" t="n">
        <v>2</v>
      </c>
      <c r="W20" s="26" t="n">
        <v>2</v>
      </c>
      <c r="X20" s="26" t="n">
        <v>2</v>
      </c>
      <c r="Y20" s="26" t="n">
        <v>2</v>
      </c>
      <c r="Z20" s="26" t="n">
        <v>2</v>
      </c>
      <c r="AA20" s="26" t="n">
        <v>2</v>
      </c>
      <c r="AB20" s="26" t="n">
        <v>2</v>
      </c>
      <c r="AC20" s="26" t="n">
        <v>2</v>
      </c>
      <c r="AD20" s="26" t="n">
        <v>2</v>
      </c>
      <c r="AE20" s="26" t="n">
        <v>2</v>
      </c>
      <c r="AF20" s="26" t="n">
        <v>2</v>
      </c>
      <c r="AG20" s="26" t="n">
        <v>2</v>
      </c>
      <c r="AH20" s="26" t="n">
        <v>2</v>
      </c>
      <c r="AI20" s="26" t="n">
        <v>2</v>
      </c>
      <c r="AJ20" s="26" t="n">
        <v>2</v>
      </c>
      <c r="AK20" s="26" t="n">
        <v>2</v>
      </c>
      <c r="AL20" s="26" t="n">
        <v>2</v>
      </c>
      <c r="AM20" s="26" t="n">
        <v>2</v>
      </c>
      <c r="AN20" s="26" t="n">
        <v>2</v>
      </c>
      <c r="AO20" s="26" t="n">
        <v>2</v>
      </c>
      <c r="AP20" s="26" t="n">
        <v>2</v>
      </c>
      <c r="AQ20" s="26" t="n">
        <v>2</v>
      </c>
      <c r="AR20" s="26" t="n">
        <v>2</v>
      </c>
      <c r="AS20" s="26" t="n">
        <v>2</v>
      </c>
    </row>
    <row r="21" ht="15" customHeight="1" s="20">
      <c r="A21" s="25" t="inlineStr">
        <is>
          <t>ОБЖ</t>
        </is>
      </c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6" t="n">
        <v>1</v>
      </c>
      <c r="AE21" s="26" t="n">
        <v>1</v>
      </c>
      <c r="AF21" s="26" t="n">
        <v>1</v>
      </c>
      <c r="AG21" s="26" t="n">
        <v>1</v>
      </c>
      <c r="AH21" s="26" t="n">
        <v>1</v>
      </c>
      <c r="AI21" s="26" t="n">
        <v>1</v>
      </c>
      <c r="AJ21" s="26" t="n">
        <v>1</v>
      </c>
      <c r="AK21" s="26" t="n">
        <v>1</v>
      </c>
      <c r="AL21" s="26" t="n">
        <v>1</v>
      </c>
      <c r="AM21" s="26" t="n">
        <v>1</v>
      </c>
      <c r="AN21" s="26" t="n">
        <v>1</v>
      </c>
      <c r="AO21" s="26" t="n">
        <v>1</v>
      </c>
      <c r="AP21" s="26" t="n">
        <v>1</v>
      </c>
      <c r="AQ21" s="26" t="n">
        <v>1</v>
      </c>
      <c r="AR21" s="26" t="n">
        <v>1</v>
      </c>
      <c r="AS21" s="26" t="n">
        <v>1</v>
      </c>
    </row>
    <row r="22" ht="15" customHeight="1" s="20">
      <c r="A22" s="25" t="inlineStr">
        <is>
          <t>Окр. мир</t>
        </is>
      </c>
      <c r="B22" s="26" t="n">
        <v>2</v>
      </c>
      <c r="C22" s="26" t="n">
        <v>2</v>
      </c>
      <c r="D22" s="26" t="n">
        <v>2</v>
      </c>
      <c r="E22" s="26" t="n">
        <v>2</v>
      </c>
      <c r="F22" s="26" t="n">
        <v>2</v>
      </c>
      <c r="G22" s="26" t="n">
        <v>2</v>
      </c>
      <c r="H22" s="26" t="n">
        <v>2</v>
      </c>
      <c r="I22" s="26" t="n">
        <v>2</v>
      </c>
      <c r="J22" s="26" t="n">
        <v>2</v>
      </c>
      <c r="K22" s="26" t="n">
        <v>2</v>
      </c>
      <c r="L22" s="26" t="n">
        <v>2</v>
      </c>
      <c r="M22" s="26" t="n">
        <v>2</v>
      </c>
      <c r="N22" s="26" t="n">
        <v>2</v>
      </c>
      <c r="O22" s="26" t="n">
        <v>2</v>
      </c>
      <c r="P22" s="26" t="n">
        <v>2</v>
      </c>
      <c r="Q22" s="26" t="n">
        <v>2</v>
      </c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</row>
    <row r="23" ht="15" customHeight="1" s="20">
      <c r="A23" s="25" t="inlineStr">
        <is>
          <t>ОРКСЭ</t>
        </is>
      </c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6" t="n">
        <v>1</v>
      </c>
      <c r="O23" s="26" t="n">
        <v>1</v>
      </c>
      <c r="P23" s="26" t="n">
        <v>1</v>
      </c>
      <c r="Q23" s="26" t="n">
        <v>1</v>
      </c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</row>
    <row r="24" ht="23.85" customHeight="1" s="20">
      <c r="A24" s="25" t="inlineStr">
        <is>
          <t>Индивидуальный проект</t>
        </is>
      </c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6" t="n">
        <v>1</v>
      </c>
      <c r="AM24" s="26" t="n">
        <v>1</v>
      </c>
      <c r="AN24" s="26" t="n">
        <v>1</v>
      </c>
      <c r="AO24" s="26" t="n">
        <v>1</v>
      </c>
      <c r="AP24" s="26" t="n">
        <v>1</v>
      </c>
      <c r="AQ24" s="26" t="n">
        <v>1</v>
      </c>
      <c r="AR24" s="26" t="n">
        <v>1</v>
      </c>
      <c r="AS24" s="26" t="n">
        <v>1</v>
      </c>
    </row>
    <row r="26" ht="15" customHeight="1" s="20">
      <c r="A26" s="28" t="inlineStr">
        <is>
          <t>ИТОГО часов</t>
        </is>
      </c>
      <c r="B26" s="29">
        <f>SUM(B2:B24)</f>
        <v/>
      </c>
      <c r="C26" s="29">
        <f>SUM(C2:C24)</f>
        <v/>
      </c>
      <c r="D26" s="29">
        <f>SUM(D2:D24)</f>
        <v/>
      </c>
      <c r="E26" s="29">
        <f>SUM(E2:E24)</f>
        <v/>
      </c>
      <c r="F26" s="29">
        <f>SUM(F2:F24)</f>
        <v/>
      </c>
      <c r="G26" s="29">
        <f>SUM(G2:G24)</f>
        <v/>
      </c>
      <c r="H26" s="29">
        <f>SUM(H2:H24)</f>
        <v/>
      </c>
      <c r="I26" s="29">
        <f>SUM(I2:I24)</f>
        <v/>
      </c>
      <c r="J26" s="29">
        <f>SUM(J2:J24)</f>
        <v/>
      </c>
      <c r="K26" s="29">
        <f>SUM(K2:K24)</f>
        <v/>
      </c>
      <c r="L26" s="29">
        <f>SUM(L2:L24)</f>
        <v/>
      </c>
      <c r="M26" s="29">
        <f>SUM(M2:M24)</f>
        <v/>
      </c>
      <c r="N26" s="29">
        <f>SUM(N2:N24)</f>
        <v/>
      </c>
      <c r="O26" s="29">
        <f>SUM(O2:O24)</f>
        <v/>
      </c>
      <c r="P26" s="29">
        <f>SUM(P2:P24)</f>
        <v/>
      </c>
      <c r="Q26" s="29">
        <f>SUM(Q2:Q24)</f>
        <v/>
      </c>
      <c r="R26" s="29">
        <f>SUM(R2:R24)</f>
        <v/>
      </c>
      <c r="S26" s="29">
        <f>SUM(S2:S24)</f>
        <v/>
      </c>
      <c r="T26" s="29">
        <f>SUM(T2:T24)</f>
        <v/>
      </c>
      <c r="U26" s="29">
        <f>SUM(U2:U24)</f>
        <v/>
      </c>
      <c r="V26" s="29">
        <f>SUM(V2:V24)</f>
        <v/>
      </c>
      <c r="W26" s="29">
        <f>SUM(W2:W24)</f>
        <v/>
      </c>
      <c r="X26" s="29">
        <f>SUM(X2:X24)</f>
        <v/>
      </c>
      <c r="Y26" s="29">
        <f>SUM(Y2:Y24)</f>
        <v/>
      </c>
      <c r="Z26" s="29">
        <f>SUM(Z2:Z24)</f>
        <v/>
      </c>
      <c r="AA26" s="29">
        <f>SUM(AA2:AA24)</f>
        <v/>
      </c>
      <c r="AB26" s="29">
        <f>SUM(AB2:AB24)</f>
        <v/>
      </c>
      <c r="AC26" s="29">
        <f>SUM(AC2:AC24)</f>
        <v/>
      </c>
      <c r="AD26" s="29">
        <f>SUM(AD2:AD24)</f>
        <v/>
      </c>
      <c r="AE26" s="29">
        <f>SUM(AE2:AE24)</f>
        <v/>
      </c>
      <c r="AF26" s="29">
        <f>SUM(AF2:AF24)</f>
        <v/>
      </c>
      <c r="AG26" s="29">
        <f>SUM(AG2:AG24)</f>
        <v/>
      </c>
      <c r="AH26" s="29">
        <f>SUM(AH2:AH24)</f>
        <v/>
      </c>
      <c r="AI26" s="29">
        <f>SUM(AI2:AI24)</f>
        <v/>
      </c>
      <c r="AJ26" s="29">
        <f>SUM(AJ2:AJ24)</f>
        <v/>
      </c>
      <c r="AK26" s="29">
        <f>SUM(AK2:AK24)</f>
        <v/>
      </c>
      <c r="AL26" s="29">
        <f>SUM(AL2:AL24)</f>
        <v/>
      </c>
      <c r="AM26" s="29">
        <f>SUM(AM2:AM24)</f>
        <v/>
      </c>
      <c r="AN26" s="29">
        <f>SUM(AN2:AN24)</f>
        <v/>
      </c>
      <c r="AO26" s="29">
        <f>SUM(AO2:AO24)</f>
        <v/>
      </c>
      <c r="AP26" s="29">
        <f>SUM(AP2:AP24)</f>
        <v/>
      </c>
      <c r="AQ26" s="29">
        <f>SUM(AQ2:AQ24)</f>
        <v/>
      </c>
      <c r="AR26" s="29">
        <f>SUM(AR2:AR24)</f>
        <v/>
      </c>
      <c r="AS26" s="29">
        <f>SUM(AS2:AS24)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9" min="1" max="1"/>
    <col width="18" customWidth="1" style="19" min="2" max="2"/>
  </cols>
  <sheetData>
    <row r="1" ht="31.5" customHeight="1" s="20">
      <c r="A1" s="24" t="inlineStr">
        <is>
          <t>ФИО</t>
        </is>
      </c>
      <c r="B1" s="24" t="inlineStr">
        <is>
          <t>Факт. нагрузка (ч/нед)</t>
        </is>
      </c>
    </row>
    <row r="2" ht="15" customHeight="1" s="20">
      <c r="A2" s="30" t="inlineStr">
        <is>
          <t>Иванова Анна Петровна</t>
        </is>
      </c>
      <c r="B2" s="31">
        <f>SUMIF(Распределение!$A:$A,A2,Распределение!$D:$D)</f>
        <v/>
      </c>
    </row>
    <row r="3" ht="15" customHeight="1" s="20">
      <c r="A3" s="30" t="inlineStr">
        <is>
          <t>Петров Сергей Николаевич</t>
        </is>
      </c>
      <c r="B3" s="31">
        <f>SUMIF(Распределение!$A:$A,A3,Распределение!$D:$D)</f>
        <v/>
      </c>
    </row>
    <row r="4" ht="15" customHeight="1" s="20">
      <c r="A4" s="30" t="inlineStr">
        <is>
          <t>Сидорова Елена Викторовна</t>
        </is>
      </c>
      <c r="B4" s="31">
        <f>SUMIF(Распределение!$A:$A,A4,Распределение!$D:$D)</f>
        <v/>
      </c>
    </row>
    <row r="5" ht="15" customHeight="1" s="20">
      <c r="A5" s="30" t="inlineStr">
        <is>
          <t>Кузнецов Дмитрий Александрович</t>
        </is>
      </c>
      <c r="B5" s="31">
        <f>SUMIF(Распределение!$A:$A,A5,Распределение!$D:$D)</f>
        <v/>
      </c>
    </row>
    <row r="6" ht="15" customHeight="1" s="20">
      <c r="A6" s="30" t="inlineStr">
        <is>
          <t>Морозова Татьяна Игоревна</t>
        </is>
      </c>
      <c r="B6" s="31">
        <f>SUMIF(Распределение!$A:$A,A6,Распределение!$D:$D)</f>
        <v/>
      </c>
    </row>
    <row r="7" ht="15" customHeight="1" s="20">
      <c r="A7" s="30" t="inlineStr">
        <is>
          <t>Волкова Ольга Сергеевна</t>
        </is>
      </c>
      <c r="B7" s="31">
        <f>SUMIF(Распределение!$A:$A,A7,Распределение!$D:$D)</f>
        <v/>
      </c>
    </row>
    <row r="8" ht="15" customHeight="1" s="20">
      <c r="A8" s="30" t="inlineStr">
        <is>
          <t>Смирнов Андрей Павлович</t>
        </is>
      </c>
      <c r="B8" s="31">
        <f>SUMIF(Распределение!$A:$A,A8,Распределение!$D:$D)</f>
        <v/>
      </c>
    </row>
    <row r="9" ht="15" customHeight="1" s="20">
      <c r="A9" s="30" t="inlineStr">
        <is>
          <t>Новикова Мария Александровна</t>
        </is>
      </c>
      <c r="B9" s="31">
        <f>SUMIF(Распределение!$A:$A,A9,Распределение!$D:$D)</f>
        <v/>
      </c>
    </row>
    <row r="10" ht="15" customHeight="1" s="20">
      <c r="A10" s="30" t="inlineStr">
        <is>
          <t>Фёдоров Игорь Валентинович</t>
        </is>
      </c>
      <c r="B10" s="31">
        <f>SUMIF(Распределение!$A:$A,A10,Распределение!$D:$D)</f>
        <v/>
      </c>
    </row>
    <row r="11" ht="15" customHeight="1" s="20">
      <c r="A11" s="30" t="inlineStr">
        <is>
          <t>Николаева Ирина Леонидовна</t>
        </is>
      </c>
      <c r="B11" s="31">
        <f>SUMIF(Распределение!$A:$A,A11,Распределение!$D:$D)</f>
        <v/>
      </c>
    </row>
    <row r="12" ht="15" customHeight="1" s="20">
      <c r="A12" s="30" t="inlineStr">
        <is>
          <t>Захаров Павел Михайлович</t>
        </is>
      </c>
      <c r="B12" s="31">
        <f>SUMIF(Распределение!$A:$A,A12,Распределение!$D:$D)</f>
        <v/>
      </c>
    </row>
    <row r="13" ht="15" customHeight="1" s="20">
      <c r="A13" s="30" t="inlineStr">
        <is>
          <t>Белова Анастасия Юрьевна</t>
        </is>
      </c>
      <c r="B13" s="31">
        <f>SUMIF(Распределение!$A:$A,A13,Распределение!$D:$D)</f>
        <v/>
      </c>
    </row>
    <row r="14" ht="15" customHeight="1" s="20">
      <c r="A14" s="30" t="inlineStr">
        <is>
          <t>Орлов Алексей Викторович</t>
        </is>
      </c>
      <c r="B14" s="31">
        <f>SUMIF(Распределение!$A:$A,A14,Распределение!$D:$D)</f>
        <v/>
      </c>
    </row>
    <row r="15" ht="15" customHeight="1" s="20">
      <c r="A15" s="32" t="n"/>
      <c r="B15" s="31">
        <f>SUMIF(Распределение!$A:$A,A15,Распределение!$D:$D)</f>
        <v/>
      </c>
    </row>
    <row r="16" ht="15" customHeight="1" s="20">
      <c r="A16" s="32" t="n"/>
      <c r="B16" s="31">
        <f>SUMIF(Распределение!$A:$A,A16,Распределение!$D:$D)</f>
        <v/>
      </c>
    </row>
    <row r="17" ht="15" customHeight="1" s="20">
      <c r="A17" s="32" t="n"/>
      <c r="B17" s="31">
        <f>SUMIF(Распределение!$A:$A,A17,Распределение!$D:$D)</f>
        <v/>
      </c>
    </row>
    <row r="18" ht="15" customHeight="1" s="20">
      <c r="A18" s="32" t="n"/>
      <c r="B18" s="31">
        <f>SUMIF(Распределение!$A:$A,A18,Распределение!$D:$D)</f>
        <v/>
      </c>
    </row>
    <row r="19" ht="15" customHeight="1" s="20">
      <c r="A19" s="32" t="n"/>
      <c r="B19" s="31">
        <f>SUMIF(Распределение!$A:$A,A19,Распределение!$D:$D)</f>
        <v/>
      </c>
    </row>
    <row r="20" ht="15" customHeight="1" s="20">
      <c r="A20" s="32" t="n"/>
      <c r="B20" s="31">
        <f>SUMIF(Распределение!$A:$A,A20,Распределение!$D:$D)</f>
        <v/>
      </c>
    </row>
    <row r="21" ht="15" customHeight="1" s="20">
      <c r="A21" s="32" t="n"/>
      <c r="B21" s="31">
        <f>SUMIF(Распределение!$A:$A,A21,Распределение!$D:$D)</f>
        <v/>
      </c>
    </row>
    <row r="22" ht="15" customHeight="1" s="20">
      <c r="A22" s="32" t="n"/>
      <c r="B22" s="31">
        <f>SUMIF(Распределение!$A:$A,A22,Распределение!$D:$D)</f>
        <v/>
      </c>
    </row>
    <row r="23" ht="15" customHeight="1" s="20">
      <c r="A23" s="32" t="n"/>
      <c r="B23" s="31">
        <f>SUMIF(Распределение!$A:$A,A23,Распределение!$D:$D)</f>
        <v/>
      </c>
    </row>
    <row r="24" ht="15" customHeight="1" s="20">
      <c r="A24" s="32" t="n"/>
      <c r="B24" s="31">
        <f>SUMIF(Распределение!$A:$A,A24,Распределение!$D:$D)</f>
        <v/>
      </c>
    </row>
    <row r="25" ht="15" customHeight="1" s="20">
      <c r="A25" s="32" t="n"/>
      <c r="B25" s="31">
        <f>SUMIF(Распределение!$A:$A,A25,Распределение!$D:$D)</f>
        <v/>
      </c>
    </row>
    <row r="26" ht="15" customHeight="1" s="20">
      <c r="A26" s="32" t="n"/>
      <c r="B26" s="31">
        <f>SUMIF(Распределение!$A:$A,A26,Распределение!$D:$D)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19" min="1" max="1"/>
    <col width="22" customWidth="1" style="19" min="2" max="2"/>
    <col width="10" customWidth="1" style="19" min="3" max="3"/>
    <col width="12" customWidth="1" style="19" min="4" max="4"/>
    <col width="16" customWidth="1" style="19" min="5" max="5"/>
  </cols>
  <sheetData>
    <row r="1" ht="31.5" customHeight="1" s="20">
      <c r="A1" s="24" t="inlineStr">
        <is>
          <t>ФИО</t>
        </is>
      </c>
      <c r="B1" s="24" t="inlineStr">
        <is>
          <t>Предмет</t>
        </is>
      </c>
      <c r="C1" s="24" t="inlineStr">
        <is>
          <t>Класс</t>
        </is>
      </c>
      <c r="D1" s="24" t="inlineStr">
        <is>
          <t>Часов/нед</t>
        </is>
      </c>
      <c r="E1" s="24" t="inlineStr">
        <is>
          <t>Кабинет</t>
        </is>
      </c>
    </row>
    <row r="2" ht="15" customHeight="1" s="20">
      <c r="A2" s="30" t="inlineStr">
        <is>
          <t>Иванова Анна Петровна</t>
        </is>
      </c>
      <c r="B2" s="30" t="inlineStr">
        <is>
          <t>Математика</t>
        </is>
      </c>
      <c r="C2" s="33" t="inlineStr">
        <is>
          <t>5А</t>
        </is>
      </c>
      <c r="D2" s="34">
        <f>IFERROR(INDEX('Учебный план'!$B$2:$AS$24,MATCH(B2,'Учебный план'!$A$2:$A$24,0),MATCH(C2,'Учебный план'!$B$1:$AS$1,0)),"")</f>
        <v/>
      </c>
      <c r="E2" s="30" t="inlineStr">
        <is>
          <t>204</t>
        </is>
      </c>
    </row>
    <row r="3" ht="15" customHeight="1" s="20">
      <c r="A3" s="30" t="inlineStr">
        <is>
          <t>Иванова Анна Петровна</t>
        </is>
      </c>
      <c r="B3" s="30" t="inlineStr">
        <is>
          <t>Математика</t>
        </is>
      </c>
      <c r="C3" s="33" t="inlineStr">
        <is>
          <t>5Б</t>
        </is>
      </c>
      <c r="D3" s="34">
        <f>IFERROR(INDEX('Учебный план'!$B$2:$AS$24,MATCH(B3,'Учебный план'!$A$2:$A$24,0),MATCH(C3,'Учебный план'!$B$1:$AS$1,0)),"")</f>
        <v/>
      </c>
      <c r="E3" s="30" t="inlineStr">
        <is>
          <t>204</t>
        </is>
      </c>
    </row>
    <row r="4" ht="15" customHeight="1" s="20">
      <c r="A4" s="30" t="inlineStr">
        <is>
          <t>Иванова Анна Петровна</t>
        </is>
      </c>
      <c r="B4" s="30" t="inlineStr">
        <is>
          <t>Алгебра</t>
        </is>
      </c>
      <c r="C4" s="33" t="inlineStr">
        <is>
          <t>8А</t>
        </is>
      </c>
      <c r="D4" s="34">
        <f>IFERROR(INDEX('Учебный план'!$B$2:$AS$24,MATCH(B4,'Учебный план'!$A$2:$A$24,0),MATCH(C4,'Учебный план'!$B$1:$AS$1,0)),"")</f>
        <v/>
      </c>
      <c r="E4" s="30" t="inlineStr">
        <is>
          <t>204</t>
        </is>
      </c>
    </row>
    <row r="5" ht="15" customHeight="1" s="20">
      <c r="A5" s="30" t="inlineStr">
        <is>
          <t>Иванова Анна Петровна</t>
        </is>
      </c>
      <c r="B5" s="30" t="inlineStr">
        <is>
          <t>Геометрия</t>
        </is>
      </c>
      <c r="C5" s="33" t="inlineStr">
        <is>
          <t>8А</t>
        </is>
      </c>
      <c r="D5" s="34">
        <f>IFERROR(INDEX('Учебный план'!$B$2:$AS$24,MATCH(B5,'Учебный план'!$A$2:$A$24,0),MATCH(C5,'Учебный план'!$B$1:$AS$1,0)),"")</f>
        <v/>
      </c>
      <c r="E5" s="30" t="inlineStr">
        <is>
          <t>204</t>
        </is>
      </c>
    </row>
    <row r="6" ht="15" customHeight="1" s="20">
      <c r="A6" s="30" t="inlineStr">
        <is>
          <t>Иванова Анна Петровна</t>
        </is>
      </c>
      <c r="B6" s="30" t="inlineStr">
        <is>
          <t>Алгебра</t>
        </is>
      </c>
      <c r="C6" s="33" t="inlineStr">
        <is>
          <t>9А</t>
        </is>
      </c>
      <c r="D6" s="34">
        <f>IFERROR(INDEX('Учебный план'!$B$2:$AS$24,MATCH(B6,'Учебный план'!$A$2:$A$24,0),MATCH(C6,'Учебный план'!$B$1:$AS$1,0)),"")</f>
        <v/>
      </c>
      <c r="E6" s="30" t="inlineStr">
        <is>
          <t>204</t>
        </is>
      </c>
    </row>
    <row r="7" ht="15" customHeight="1" s="20">
      <c r="A7" s="30" t="inlineStr">
        <is>
          <t>Петров Сергей Николаевич</t>
        </is>
      </c>
      <c r="B7" s="30" t="inlineStr">
        <is>
          <t>Русский язык</t>
        </is>
      </c>
      <c r="C7" s="33" t="inlineStr">
        <is>
          <t>6А</t>
        </is>
      </c>
      <c r="D7" s="34">
        <f>IFERROR(INDEX('Учебный план'!$B$2:$AS$24,MATCH(B7,'Учебный план'!$A$2:$A$24,0),MATCH(C7,'Учебный план'!$B$1:$AS$1,0)),"")</f>
        <v/>
      </c>
      <c r="E7" s="30" t="inlineStr">
        <is>
          <t>208</t>
        </is>
      </c>
    </row>
    <row r="8" ht="15" customHeight="1" s="20">
      <c r="A8" s="30" t="inlineStr">
        <is>
          <t>Петров Сергей Николаевич</t>
        </is>
      </c>
      <c r="B8" s="30" t="inlineStr">
        <is>
          <t>Русский язык</t>
        </is>
      </c>
      <c r="C8" s="33" t="inlineStr">
        <is>
          <t>6Б</t>
        </is>
      </c>
      <c r="D8" s="34">
        <f>IFERROR(INDEX('Учебный план'!$B$2:$AS$24,MATCH(B8,'Учебный план'!$A$2:$A$24,0),MATCH(C8,'Учебный план'!$B$1:$AS$1,0)),"")</f>
        <v/>
      </c>
      <c r="E8" s="30" t="inlineStr">
        <is>
          <t>208</t>
        </is>
      </c>
    </row>
    <row r="9" ht="15" customHeight="1" s="20">
      <c r="A9" s="30" t="inlineStr">
        <is>
          <t>Петров Сергей Николаевич</t>
        </is>
      </c>
      <c r="B9" s="30" t="inlineStr">
        <is>
          <t>Литература</t>
        </is>
      </c>
      <c r="C9" s="33" t="inlineStr">
        <is>
          <t>6А</t>
        </is>
      </c>
      <c r="D9" s="34">
        <f>IFERROR(INDEX('Учебный план'!$B$2:$AS$24,MATCH(B9,'Учебный план'!$A$2:$A$24,0),MATCH(C9,'Учебный план'!$B$1:$AS$1,0)),"")</f>
        <v/>
      </c>
      <c r="E9" s="30" t="inlineStr">
        <is>
          <t>208</t>
        </is>
      </c>
    </row>
    <row r="10" ht="15" customHeight="1" s="20">
      <c r="A10" s="30" t="inlineStr">
        <is>
          <t>Петров Сергей Николаевич</t>
        </is>
      </c>
      <c r="B10" s="30" t="inlineStr">
        <is>
          <t>Литература</t>
        </is>
      </c>
      <c r="C10" s="33" t="inlineStr">
        <is>
          <t>6Б</t>
        </is>
      </c>
      <c r="D10" s="34">
        <f>IFERROR(INDEX('Учебный план'!$B$2:$AS$24,MATCH(B10,'Учебный план'!$A$2:$A$24,0),MATCH(C10,'Учебный план'!$B$1:$AS$1,0)),"")</f>
        <v/>
      </c>
      <c r="E10" s="30" t="inlineStr">
        <is>
          <t>208</t>
        </is>
      </c>
    </row>
    <row r="11" ht="15" customHeight="1" s="20">
      <c r="A11" s="30" t="inlineStr">
        <is>
          <t>Петров Сергей Николаевич</t>
        </is>
      </c>
      <c r="B11" s="30" t="inlineStr">
        <is>
          <t>Русский язык</t>
        </is>
      </c>
      <c r="C11" s="33" t="inlineStr">
        <is>
          <t>9А</t>
        </is>
      </c>
      <c r="D11" s="34">
        <f>IFERROR(INDEX('Учебный план'!$B$2:$AS$24,MATCH(B11,'Учебный план'!$A$2:$A$24,0),MATCH(C11,'Учебный план'!$B$1:$AS$1,0)),"")</f>
        <v/>
      </c>
      <c r="E11" s="30" t="inlineStr">
        <is>
          <t>208</t>
        </is>
      </c>
    </row>
    <row r="12" ht="15" customHeight="1" s="20">
      <c r="A12" s="30" t="inlineStr">
        <is>
          <t>Сидорова Елена Викторовна</t>
        </is>
      </c>
      <c r="B12" s="30" t="inlineStr">
        <is>
          <t>Иностранный язык</t>
        </is>
      </c>
      <c r="C12" s="33" t="inlineStr">
        <is>
          <t>5А</t>
        </is>
      </c>
      <c r="D12" s="34">
        <f>IFERROR(INDEX('Учебный план'!$B$2:$AS$24,MATCH(B12,'Учебный план'!$A$2:$A$24,0),MATCH(C12,'Учебный план'!$B$1:$AS$1,0)),"")</f>
        <v/>
      </c>
      <c r="E12" s="30" t="inlineStr">
        <is>
          <t>213</t>
        </is>
      </c>
    </row>
    <row r="13" ht="15" customHeight="1" s="20">
      <c r="A13" s="30" t="inlineStr">
        <is>
          <t>Сидорова Елена Викторовна</t>
        </is>
      </c>
      <c r="B13" s="30" t="inlineStr">
        <is>
          <t>Иностранный язык</t>
        </is>
      </c>
      <c r="C13" s="33" t="inlineStr">
        <is>
          <t>5Б</t>
        </is>
      </c>
      <c r="D13" s="34">
        <f>IFERROR(INDEX('Учебный план'!$B$2:$AS$24,MATCH(B13,'Учебный план'!$A$2:$A$24,0),MATCH(C13,'Учебный план'!$B$1:$AS$1,0)),"")</f>
        <v/>
      </c>
      <c r="E13" s="30" t="inlineStr">
        <is>
          <t>213</t>
        </is>
      </c>
    </row>
    <row r="14" ht="15" customHeight="1" s="20">
      <c r="A14" s="30" t="inlineStr">
        <is>
          <t>Сидорова Елена Викторовна</t>
        </is>
      </c>
      <c r="B14" s="30" t="inlineStr">
        <is>
          <t>Иностранный язык</t>
        </is>
      </c>
      <c r="C14" s="33" t="inlineStr">
        <is>
          <t>7А</t>
        </is>
      </c>
      <c r="D14" s="34">
        <f>IFERROR(INDEX('Учебный план'!$B$2:$AS$24,MATCH(B14,'Учебный план'!$A$2:$A$24,0),MATCH(C14,'Учебный план'!$B$1:$AS$1,0)),"")</f>
        <v/>
      </c>
      <c r="E14" s="30" t="inlineStr">
        <is>
          <t>213</t>
        </is>
      </c>
    </row>
    <row r="15" ht="15" customHeight="1" s="20">
      <c r="A15" s="30" t="inlineStr">
        <is>
          <t>Сидорова Елена Викторовна</t>
        </is>
      </c>
      <c r="B15" s="30" t="inlineStr">
        <is>
          <t>Иностранный язык</t>
        </is>
      </c>
      <c r="C15" s="33" t="inlineStr">
        <is>
          <t>9А</t>
        </is>
      </c>
      <c r="D15" s="34">
        <f>IFERROR(INDEX('Учебный план'!$B$2:$AS$24,MATCH(B15,'Учебный план'!$A$2:$A$24,0),MATCH(C15,'Учебный план'!$B$1:$AS$1,0)),"")</f>
        <v/>
      </c>
      <c r="E15" s="30" t="inlineStr">
        <is>
          <t>213</t>
        </is>
      </c>
    </row>
    <row r="16" ht="15" customHeight="1" s="20">
      <c r="A16" s="30" t="inlineStr">
        <is>
          <t>Кузнецов Дмитрий Александрович</t>
        </is>
      </c>
      <c r="B16" s="30" t="inlineStr">
        <is>
          <t>Физика</t>
        </is>
      </c>
      <c r="C16" s="33" t="inlineStr">
        <is>
          <t>7А</t>
        </is>
      </c>
      <c r="D16" s="34">
        <f>IFERROR(INDEX('Учебный план'!$B$2:$AS$24,MATCH(B16,'Учебный план'!$A$2:$A$24,0),MATCH(C16,'Учебный план'!$B$1:$AS$1,0)),"")</f>
        <v/>
      </c>
      <c r="E16" s="30" t="inlineStr">
        <is>
          <t>305</t>
        </is>
      </c>
    </row>
    <row r="17" ht="15" customHeight="1" s="20">
      <c r="A17" s="30" t="inlineStr">
        <is>
          <t>Кузнецов Дмитрий Александрович</t>
        </is>
      </c>
      <c r="B17" s="30" t="inlineStr">
        <is>
          <t>Физика</t>
        </is>
      </c>
      <c r="C17" s="33" t="inlineStr">
        <is>
          <t>8А</t>
        </is>
      </c>
      <c r="D17" s="34">
        <f>IFERROR(INDEX('Учебный план'!$B$2:$AS$24,MATCH(B17,'Учебный план'!$A$2:$A$24,0),MATCH(C17,'Учебный план'!$B$1:$AS$1,0)),"")</f>
        <v/>
      </c>
      <c r="E17" s="30" t="inlineStr">
        <is>
          <t>305</t>
        </is>
      </c>
    </row>
    <row r="18" ht="15" customHeight="1" s="20">
      <c r="A18" s="30" t="inlineStr">
        <is>
          <t>Кузнецов Дмитрий Александрович</t>
        </is>
      </c>
      <c r="B18" s="30" t="inlineStr">
        <is>
          <t>Физика</t>
        </is>
      </c>
      <c r="C18" s="33" t="inlineStr">
        <is>
          <t>9А</t>
        </is>
      </c>
      <c r="D18" s="34">
        <f>IFERROR(INDEX('Учебный план'!$B$2:$AS$24,MATCH(B18,'Учебный план'!$A$2:$A$24,0),MATCH(C18,'Учебный план'!$B$1:$AS$1,0)),"")</f>
        <v/>
      </c>
      <c r="E18" s="30" t="inlineStr">
        <is>
          <t>305</t>
        </is>
      </c>
    </row>
    <row r="19" ht="15" customHeight="1" s="20">
      <c r="A19" s="30" t="inlineStr">
        <is>
          <t>Кузнецов Дмитрий Александрович</t>
        </is>
      </c>
      <c r="B19" s="30" t="inlineStr">
        <is>
          <t>Физика</t>
        </is>
      </c>
      <c r="C19" s="33" t="inlineStr">
        <is>
          <t>10А</t>
        </is>
      </c>
      <c r="D19" s="34">
        <f>IFERROR(INDEX('Учебный план'!$B$2:$AS$24,MATCH(B19,'Учебный план'!$A$2:$A$24,0),MATCH(C19,'Учебный план'!$B$1:$AS$1,0)),"")</f>
        <v/>
      </c>
      <c r="E19" s="30" t="inlineStr">
        <is>
          <t>305</t>
        </is>
      </c>
    </row>
    <row r="20" ht="15" customHeight="1" s="20">
      <c r="A20" s="30" t="inlineStr">
        <is>
          <t>Морозова Татьяна Игоревна</t>
        </is>
      </c>
      <c r="B20" s="30" t="inlineStr">
        <is>
          <t>Химия</t>
        </is>
      </c>
      <c r="C20" s="33" t="inlineStr">
        <is>
          <t>8А</t>
        </is>
      </c>
      <c r="D20" s="34">
        <f>IFERROR(INDEX('Учебный план'!$B$2:$AS$24,MATCH(B20,'Учебный план'!$A$2:$A$24,0),MATCH(C20,'Учебный план'!$B$1:$AS$1,0)),"")</f>
        <v/>
      </c>
      <c r="E20" s="30" t="inlineStr">
        <is>
          <t>310</t>
        </is>
      </c>
    </row>
    <row r="21" ht="15" customHeight="1" s="20">
      <c r="A21" s="30" t="inlineStr">
        <is>
          <t>Морозова Татьяна Игоревна</t>
        </is>
      </c>
      <c r="B21" s="30" t="inlineStr">
        <is>
          <t>Химия</t>
        </is>
      </c>
      <c r="C21" s="33" t="inlineStr">
        <is>
          <t>9А</t>
        </is>
      </c>
      <c r="D21" s="34">
        <f>IFERROR(INDEX('Учебный план'!$B$2:$AS$24,MATCH(B21,'Учебный план'!$A$2:$A$24,0),MATCH(C21,'Учебный план'!$B$1:$AS$1,0)),"")</f>
        <v/>
      </c>
      <c r="E21" s="30" t="inlineStr">
        <is>
          <t>310</t>
        </is>
      </c>
    </row>
    <row r="22" ht="15" customHeight="1" s="20">
      <c r="A22" s="30" t="inlineStr">
        <is>
          <t>Морозова Татьяна Игоревна</t>
        </is>
      </c>
      <c r="B22" s="30" t="inlineStr">
        <is>
          <t>Химия</t>
        </is>
      </c>
      <c r="C22" s="33" t="inlineStr">
        <is>
          <t>10А</t>
        </is>
      </c>
      <c r="D22" s="34">
        <f>IFERROR(INDEX('Учебный план'!$B$2:$AS$24,MATCH(B22,'Учебный план'!$A$2:$A$24,0),MATCH(C22,'Учебный план'!$B$1:$AS$1,0)),"")</f>
        <v/>
      </c>
      <c r="E22" s="30" t="inlineStr">
        <is>
          <t>310</t>
        </is>
      </c>
    </row>
    <row r="23" ht="15" customHeight="1" s="20">
      <c r="A23" s="30" t="inlineStr">
        <is>
          <t>Волкова Ольга Сергеевна</t>
        </is>
      </c>
      <c r="B23" s="30" t="inlineStr">
        <is>
          <t>Биология</t>
        </is>
      </c>
      <c r="C23" s="33" t="inlineStr">
        <is>
          <t>5А</t>
        </is>
      </c>
      <c r="D23" s="34">
        <f>IFERROR(INDEX('Учебный план'!$B$2:$AS$24,MATCH(B23,'Учебный план'!$A$2:$A$24,0),MATCH(C23,'Учебный план'!$B$1:$AS$1,0)),"")</f>
        <v/>
      </c>
      <c r="E23" s="30" t="inlineStr">
        <is>
          <t>312</t>
        </is>
      </c>
    </row>
    <row r="24" ht="15" customHeight="1" s="20">
      <c r="A24" s="30" t="inlineStr">
        <is>
          <t>Волкова Ольга Сергеевна</t>
        </is>
      </c>
      <c r="B24" s="30" t="inlineStr">
        <is>
          <t>Биология</t>
        </is>
      </c>
      <c r="C24" s="33" t="inlineStr">
        <is>
          <t>5Б</t>
        </is>
      </c>
      <c r="D24" s="34">
        <f>IFERROR(INDEX('Учебный план'!$B$2:$AS$24,MATCH(B24,'Учебный план'!$A$2:$A$24,0),MATCH(C24,'Учебный план'!$B$1:$AS$1,0)),"")</f>
        <v/>
      </c>
      <c r="E24" s="30" t="inlineStr">
        <is>
          <t>312</t>
        </is>
      </c>
    </row>
    <row r="25" ht="15" customHeight="1" s="20">
      <c r="A25" s="30" t="inlineStr">
        <is>
          <t>Волкова Ольга Сергеевна</t>
        </is>
      </c>
      <c r="B25" s="30" t="inlineStr">
        <is>
          <t>Биология</t>
        </is>
      </c>
      <c r="C25" s="33" t="inlineStr">
        <is>
          <t>7А</t>
        </is>
      </c>
      <c r="D25" s="34">
        <f>IFERROR(INDEX('Учебный план'!$B$2:$AS$24,MATCH(B25,'Учебный план'!$A$2:$A$24,0),MATCH(C25,'Учебный план'!$B$1:$AS$1,0)),"")</f>
        <v/>
      </c>
      <c r="E25" s="30" t="inlineStr">
        <is>
          <t>312</t>
        </is>
      </c>
    </row>
    <row r="26" ht="15" customHeight="1" s="20">
      <c r="A26" s="30" t="inlineStr">
        <is>
          <t>Волкова Ольга Сергеевна</t>
        </is>
      </c>
      <c r="B26" s="30" t="inlineStr">
        <is>
          <t>Биология</t>
        </is>
      </c>
      <c r="C26" s="33" t="inlineStr">
        <is>
          <t>8А</t>
        </is>
      </c>
      <c r="D26" s="34">
        <f>IFERROR(INDEX('Учебный план'!$B$2:$AS$24,MATCH(B26,'Учебный план'!$A$2:$A$24,0),MATCH(C26,'Учебный план'!$B$1:$AS$1,0)),"")</f>
        <v/>
      </c>
      <c r="E26" s="30" t="inlineStr">
        <is>
          <t>312</t>
        </is>
      </c>
    </row>
    <row r="27" ht="15" customHeight="1" s="20">
      <c r="A27" s="30" t="inlineStr">
        <is>
          <t>Смирнов Андрей Павлович</t>
        </is>
      </c>
      <c r="B27" s="30" t="inlineStr">
        <is>
          <t>История</t>
        </is>
      </c>
      <c r="C27" s="33" t="inlineStr">
        <is>
          <t>5А</t>
        </is>
      </c>
      <c r="D27" s="34">
        <f>IFERROR(INDEX('Учебный план'!$B$2:$AS$24,MATCH(B27,'Учебный план'!$A$2:$A$24,0),MATCH(C27,'Учебный план'!$B$1:$AS$1,0)),"")</f>
        <v/>
      </c>
      <c r="E27" s="30" t="n"/>
    </row>
    <row r="28" ht="15" customHeight="1" s="20">
      <c r="A28" s="30" t="inlineStr">
        <is>
          <t>Смирнов Андрей Павлович</t>
        </is>
      </c>
      <c r="B28" s="30" t="inlineStr">
        <is>
          <t>История</t>
        </is>
      </c>
      <c r="C28" s="33" t="inlineStr">
        <is>
          <t>6А</t>
        </is>
      </c>
      <c r="D28" s="34">
        <f>IFERROR(INDEX('Учебный план'!$B$2:$AS$24,MATCH(B28,'Учебный план'!$A$2:$A$24,0),MATCH(C28,'Учебный план'!$B$1:$AS$1,0)),"")</f>
        <v/>
      </c>
      <c r="E28" s="30" t="n"/>
    </row>
    <row r="29" ht="15" customHeight="1" s="20">
      <c r="A29" s="30" t="inlineStr">
        <is>
          <t>Смирнов Андрей Павлович</t>
        </is>
      </c>
      <c r="B29" s="30" t="inlineStr">
        <is>
          <t>История</t>
        </is>
      </c>
      <c r="C29" s="33" t="inlineStr">
        <is>
          <t>8А</t>
        </is>
      </c>
      <c r="D29" s="34">
        <f>IFERROR(INDEX('Учебный план'!$B$2:$AS$24,MATCH(B29,'Учебный план'!$A$2:$A$24,0),MATCH(C29,'Учебный план'!$B$1:$AS$1,0)),"")</f>
        <v/>
      </c>
      <c r="E29" s="30" t="n"/>
    </row>
    <row r="30" ht="15" customHeight="1" s="20">
      <c r="A30" s="30" t="inlineStr">
        <is>
          <t>Смирнов Андрей Павлович</t>
        </is>
      </c>
      <c r="B30" s="30" t="inlineStr">
        <is>
          <t>Обществознание</t>
        </is>
      </c>
      <c r="C30" s="33" t="inlineStr">
        <is>
          <t>8А</t>
        </is>
      </c>
      <c r="D30" s="34">
        <f>IFERROR(INDEX('Учебный план'!$B$2:$AS$24,MATCH(B30,'Учебный план'!$A$2:$A$24,0),MATCH(C30,'Учебный план'!$B$1:$AS$1,0)),"")</f>
        <v/>
      </c>
      <c r="E30" s="30" t="n"/>
    </row>
    <row r="31" ht="15" customHeight="1" s="20">
      <c r="A31" s="30" t="inlineStr">
        <is>
          <t>Новикова Мария Александровна</t>
        </is>
      </c>
      <c r="B31" s="30" t="inlineStr">
        <is>
          <t>География</t>
        </is>
      </c>
      <c r="C31" s="33" t="inlineStr">
        <is>
          <t>5А</t>
        </is>
      </c>
      <c r="D31" s="34">
        <f>IFERROR(INDEX('Учебный план'!$B$2:$AS$24,MATCH(B31,'Учебный план'!$A$2:$A$24,0),MATCH(C31,'Учебный план'!$B$1:$AS$1,0)),"")</f>
        <v/>
      </c>
      <c r="E31" s="30" t="n"/>
    </row>
    <row r="32" ht="15" customHeight="1" s="20">
      <c r="A32" s="30" t="inlineStr">
        <is>
          <t>Новикова Мария Александровна</t>
        </is>
      </c>
      <c r="B32" s="30" t="inlineStr">
        <is>
          <t>География</t>
        </is>
      </c>
      <c r="C32" s="33" t="inlineStr">
        <is>
          <t>7А</t>
        </is>
      </c>
      <c r="D32" s="34">
        <f>IFERROR(INDEX('Учебный план'!$B$2:$AS$24,MATCH(B32,'Учебный план'!$A$2:$A$24,0),MATCH(C32,'Учебный план'!$B$1:$AS$1,0)),"")</f>
        <v/>
      </c>
      <c r="E32" s="30" t="n"/>
    </row>
    <row r="33" ht="15" customHeight="1" s="20">
      <c r="A33" s="30" t="inlineStr">
        <is>
          <t>Новикова Мария Александровна</t>
        </is>
      </c>
      <c r="B33" s="30" t="inlineStr">
        <is>
          <t>География</t>
        </is>
      </c>
      <c r="C33" s="33" t="inlineStr">
        <is>
          <t>8А</t>
        </is>
      </c>
      <c r="D33" s="34">
        <f>IFERROR(INDEX('Учебный план'!$B$2:$AS$24,MATCH(B33,'Учебный план'!$A$2:$A$24,0),MATCH(C33,'Учебный план'!$B$1:$AS$1,0)),"")</f>
        <v/>
      </c>
      <c r="E33" s="30" t="n"/>
    </row>
    <row r="34" ht="15" customHeight="1" s="20">
      <c r="A34" s="30" t="inlineStr">
        <is>
          <t>Фёдоров Игорь Валентинович</t>
        </is>
      </c>
      <c r="B34" s="30" t="inlineStr">
        <is>
          <t>Информатика</t>
        </is>
      </c>
      <c r="C34" s="33" t="inlineStr">
        <is>
          <t>7А</t>
        </is>
      </c>
      <c r="D34" s="34">
        <f>IFERROR(INDEX('Учебный план'!$B$2:$AS$24,MATCH(B34,'Учебный план'!$A$2:$A$24,0),MATCH(C34,'Учебный план'!$B$1:$AS$1,0)),"")</f>
        <v/>
      </c>
      <c r="E34" s="30" t="inlineStr">
        <is>
          <t>201</t>
        </is>
      </c>
    </row>
    <row r="35" ht="15" customHeight="1" s="20">
      <c r="A35" s="30" t="inlineStr">
        <is>
          <t>Фёдоров Игорь Валентинович</t>
        </is>
      </c>
      <c r="B35" s="30" t="inlineStr">
        <is>
          <t>Информатика</t>
        </is>
      </c>
      <c r="C35" s="33" t="inlineStr">
        <is>
          <t>8А</t>
        </is>
      </c>
      <c r="D35" s="34">
        <f>IFERROR(INDEX('Учебный план'!$B$2:$AS$24,MATCH(B35,'Учебный план'!$A$2:$A$24,0),MATCH(C35,'Учебный план'!$B$1:$AS$1,0)),"")</f>
        <v/>
      </c>
      <c r="E35" s="30" t="inlineStr">
        <is>
          <t>201</t>
        </is>
      </c>
    </row>
    <row r="36" ht="15" customHeight="1" s="20">
      <c r="A36" s="30" t="inlineStr">
        <is>
          <t>Фёдоров Игорь Валентинович</t>
        </is>
      </c>
      <c r="B36" s="30" t="inlineStr">
        <is>
          <t>Информатика</t>
        </is>
      </c>
      <c r="C36" s="33" t="inlineStr">
        <is>
          <t>9А</t>
        </is>
      </c>
      <c r="D36" s="34">
        <f>IFERROR(INDEX('Учебный план'!$B$2:$AS$24,MATCH(B36,'Учебный план'!$A$2:$A$24,0),MATCH(C36,'Учебный план'!$B$1:$AS$1,0)),"")</f>
        <v/>
      </c>
      <c r="E36" s="30" t="inlineStr">
        <is>
          <t>201</t>
        </is>
      </c>
    </row>
    <row r="37" ht="15" customHeight="1" s="20">
      <c r="A37" s="30" t="inlineStr">
        <is>
          <t>Николаева Ирина Леонидовна</t>
        </is>
      </c>
      <c r="B37" s="30" t="inlineStr">
        <is>
          <t>Физическая культура</t>
        </is>
      </c>
      <c r="C37" s="33" t="inlineStr">
        <is>
          <t>5А</t>
        </is>
      </c>
      <c r="D37" s="34">
        <f>IFERROR(INDEX('Учебный план'!$B$2:$AS$24,MATCH(B37,'Учебный план'!$A$2:$A$24,0),MATCH(C37,'Учебный план'!$B$1:$AS$1,0)),"")</f>
        <v/>
      </c>
      <c r="E37" s="30" t="inlineStr">
        <is>
          <t>Спортзал</t>
        </is>
      </c>
    </row>
    <row r="38" ht="15" customHeight="1" s="20">
      <c r="A38" s="30" t="inlineStr">
        <is>
          <t>Николаева Ирина Леонидовна</t>
        </is>
      </c>
      <c r="B38" s="30" t="inlineStr">
        <is>
          <t>Физическая культура</t>
        </is>
      </c>
      <c r="C38" s="33" t="inlineStr">
        <is>
          <t>5Б</t>
        </is>
      </c>
      <c r="D38" s="34">
        <f>IFERROR(INDEX('Учебный план'!$B$2:$AS$24,MATCH(B38,'Учебный план'!$A$2:$A$24,0),MATCH(C38,'Учебный план'!$B$1:$AS$1,0)),"")</f>
        <v/>
      </c>
      <c r="E38" s="30" t="inlineStr">
        <is>
          <t>Спортзал</t>
        </is>
      </c>
    </row>
    <row r="39" ht="15" customHeight="1" s="20">
      <c r="A39" s="30" t="inlineStr">
        <is>
          <t>Николаева Ирина Леонидовна</t>
        </is>
      </c>
      <c r="B39" s="30" t="inlineStr">
        <is>
          <t>Физическая культура</t>
        </is>
      </c>
      <c r="C39" s="33" t="inlineStr">
        <is>
          <t>6А</t>
        </is>
      </c>
      <c r="D39" s="34">
        <f>IFERROR(INDEX('Учебный план'!$B$2:$AS$24,MATCH(B39,'Учебный план'!$A$2:$A$24,0),MATCH(C39,'Учебный план'!$B$1:$AS$1,0)),"")</f>
        <v/>
      </c>
      <c r="E39" s="30" t="inlineStr">
        <is>
          <t>Спортзал</t>
        </is>
      </c>
    </row>
    <row r="40" ht="15" customHeight="1" s="20">
      <c r="A40" s="30" t="inlineStr">
        <is>
          <t>Николаева Ирина Леонидовна</t>
        </is>
      </c>
      <c r="B40" s="30" t="inlineStr">
        <is>
          <t>ОБЖ</t>
        </is>
      </c>
      <c r="C40" s="33" t="inlineStr">
        <is>
          <t>8А</t>
        </is>
      </c>
      <c r="D40" s="34">
        <f>IFERROR(INDEX('Учебный план'!$B$2:$AS$24,MATCH(B40,'Учебный план'!$A$2:$A$24,0),MATCH(C40,'Учебный план'!$B$1:$AS$1,0)),"")</f>
        <v/>
      </c>
      <c r="E40" s="30" t="n"/>
    </row>
    <row r="41" ht="15" customHeight="1" s="20">
      <c r="A41" s="30" t="inlineStr">
        <is>
          <t>Захаров Павел Михайлович</t>
        </is>
      </c>
      <c r="B41" s="30" t="inlineStr">
        <is>
          <t>Физическая культура</t>
        </is>
      </c>
      <c r="C41" s="33" t="inlineStr">
        <is>
          <t>8А</t>
        </is>
      </c>
      <c r="D41" s="34">
        <f>IFERROR(INDEX('Учебный план'!$B$2:$AS$24,MATCH(B41,'Учебный план'!$A$2:$A$24,0),MATCH(C41,'Учебный план'!$B$1:$AS$1,0)),"")</f>
        <v/>
      </c>
      <c r="E41" s="30" t="inlineStr">
        <is>
          <t>Спортзал</t>
        </is>
      </c>
    </row>
    <row r="42" ht="15" customHeight="1" s="20">
      <c r="A42" s="30" t="inlineStr">
        <is>
          <t>Захаров Павел Михайлович</t>
        </is>
      </c>
      <c r="B42" s="30" t="inlineStr">
        <is>
          <t>Физическая культура</t>
        </is>
      </c>
      <c r="C42" s="33" t="inlineStr">
        <is>
          <t>9А</t>
        </is>
      </c>
      <c r="D42" s="34">
        <f>IFERROR(INDEX('Учебный план'!$B$2:$AS$24,MATCH(B42,'Учебный план'!$A$2:$A$24,0),MATCH(C42,'Учебный план'!$B$1:$AS$1,0)),"")</f>
        <v/>
      </c>
      <c r="E42" s="30" t="inlineStr">
        <is>
          <t>Спортзал</t>
        </is>
      </c>
    </row>
    <row r="43" ht="15" customHeight="1" s="20">
      <c r="A43" s="30" t="inlineStr">
        <is>
          <t>Захаров Павел Михайлович</t>
        </is>
      </c>
      <c r="B43" s="30" t="inlineStr">
        <is>
          <t>Физическая культура</t>
        </is>
      </c>
      <c r="C43" s="33" t="inlineStr">
        <is>
          <t>10А</t>
        </is>
      </c>
      <c r="D43" s="34">
        <f>IFERROR(INDEX('Учебный план'!$B$2:$AS$24,MATCH(B43,'Учебный план'!$A$2:$A$24,0),MATCH(C43,'Учебный план'!$B$1:$AS$1,0)),"")</f>
        <v/>
      </c>
      <c r="E43" s="30" t="inlineStr">
        <is>
          <t>Спортзал</t>
        </is>
      </c>
    </row>
    <row r="44" ht="15" customHeight="1" s="20">
      <c r="A44" s="30" t="inlineStr">
        <is>
          <t>Белова Анастасия Юрьевна</t>
        </is>
      </c>
      <c r="B44" s="30" t="inlineStr">
        <is>
          <t>ИЗО</t>
        </is>
      </c>
      <c r="C44" s="33" t="inlineStr">
        <is>
          <t>5А</t>
        </is>
      </c>
      <c r="D44" s="34">
        <f>IFERROR(INDEX('Учебный план'!$B$2:$AS$24,MATCH(B44,'Учебный план'!$A$2:$A$24,0),MATCH(C44,'Учебный план'!$B$1:$AS$1,0)),"")</f>
        <v/>
      </c>
      <c r="E44" s="30" t="n"/>
    </row>
    <row r="45" ht="15" customHeight="1" s="20">
      <c r="A45" s="30" t="inlineStr">
        <is>
          <t>Белова Анастасия Юрьевна</t>
        </is>
      </c>
      <c r="B45" s="30" t="inlineStr">
        <is>
          <t>ИЗО</t>
        </is>
      </c>
      <c r="C45" s="33" t="inlineStr">
        <is>
          <t>5Б</t>
        </is>
      </c>
      <c r="D45" s="34">
        <f>IFERROR(INDEX('Учебный план'!$B$2:$AS$24,MATCH(B45,'Учебный план'!$A$2:$A$24,0),MATCH(C45,'Учебный план'!$B$1:$AS$1,0)),"")</f>
        <v/>
      </c>
      <c r="E45" s="30" t="n"/>
    </row>
    <row r="46" ht="15" customHeight="1" s="20">
      <c r="A46" s="30" t="inlineStr">
        <is>
          <t>Белова Анастасия Юрьевна</t>
        </is>
      </c>
      <c r="B46" s="30" t="inlineStr">
        <is>
          <t>ИЗО</t>
        </is>
      </c>
      <c r="C46" s="33" t="inlineStr">
        <is>
          <t>6А</t>
        </is>
      </c>
      <c r="D46" s="34">
        <f>IFERROR(INDEX('Учебный план'!$B$2:$AS$24,MATCH(B46,'Учебный план'!$A$2:$A$24,0),MATCH(C46,'Учебный план'!$B$1:$AS$1,0)),"")</f>
        <v/>
      </c>
      <c r="E46" s="30" t="n"/>
    </row>
    <row r="47" ht="15" customHeight="1" s="20">
      <c r="A47" s="30" t="inlineStr">
        <is>
          <t>Орлов Алексей Викторович</t>
        </is>
      </c>
      <c r="B47" s="30" t="inlineStr">
        <is>
          <t>Музыка</t>
        </is>
      </c>
      <c r="C47" s="33" t="inlineStr">
        <is>
          <t>5А</t>
        </is>
      </c>
      <c r="D47" s="34">
        <f>IFERROR(INDEX('Учебный план'!$B$2:$AS$24,MATCH(B47,'Учебный план'!$A$2:$A$24,0),MATCH(C47,'Учебный план'!$B$1:$AS$1,0)),"")</f>
        <v/>
      </c>
      <c r="E47" s="30" t="n"/>
    </row>
    <row r="48" ht="15" customHeight="1" s="20">
      <c r="A48" s="30" t="inlineStr">
        <is>
          <t>Орлов Алексей Викторович</t>
        </is>
      </c>
      <c r="B48" s="30" t="inlineStr">
        <is>
          <t>Музыка</t>
        </is>
      </c>
      <c r="C48" s="33" t="inlineStr">
        <is>
          <t>5Б</t>
        </is>
      </c>
      <c r="D48" s="34">
        <f>IFERROR(INDEX('Учебный план'!$B$2:$AS$24,MATCH(B48,'Учебный план'!$A$2:$A$24,0),MATCH(C48,'Учебный план'!$B$1:$AS$1,0)),"")</f>
        <v/>
      </c>
      <c r="E48" s="30" t="n"/>
    </row>
    <row r="49" ht="15" customHeight="1" s="20">
      <c r="A49" s="30" t="inlineStr">
        <is>
          <t>Орлов Алексей Викторович</t>
        </is>
      </c>
      <c r="B49" s="30" t="inlineStr">
        <is>
          <t>Музыка</t>
        </is>
      </c>
      <c r="C49" s="33" t="inlineStr">
        <is>
          <t>6А</t>
        </is>
      </c>
      <c r="D49" s="34">
        <f>IFERROR(INDEX('Учебный план'!$B$2:$AS$24,MATCH(B49,'Учебный план'!$A$2:$A$24,0),MATCH(C49,'Учебный план'!$B$1:$AS$1,0)),"")</f>
        <v/>
      </c>
      <c r="E49" s="30" t="n"/>
    </row>
    <row r="50" ht="15" customHeight="1" s="20">
      <c r="A50" s="32" t="n"/>
      <c r="B50" s="32" t="n"/>
      <c r="C50" s="26" t="n"/>
      <c r="D50" s="35">
        <f>IF(AND(B50&lt;&gt;"",C50&lt;&gt;""),IFERROR(INDEX('Учебный план'!$B$2:$AS$24,MATCH(B50,'Учебный план'!$A$2:$A$24,0),MATCH(C50,'Учебный план'!$B$1:$AS$1,0)),""),"")</f>
        <v/>
      </c>
      <c r="E50" s="36" t="n"/>
    </row>
    <row r="51" ht="15" customHeight="1" s="20">
      <c r="A51" s="32" t="n"/>
      <c r="B51" s="32" t="n"/>
      <c r="C51" s="26" t="n"/>
      <c r="D51" s="35">
        <f>IF(AND(B51&lt;&gt;"",C51&lt;&gt;""),IFERROR(INDEX('Учебный план'!$B$2:$AS$24,MATCH(B51,'Учебный план'!$A$2:$A$24,0),MATCH(C51,'Учебный план'!$B$1:$AS$1,0)),""),"")</f>
        <v/>
      </c>
      <c r="E51" s="36" t="n"/>
    </row>
    <row r="52" ht="15" customHeight="1" s="20">
      <c r="A52" s="32" t="n"/>
      <c r="B52" s="32" t="n"/>
      <c r="C52" s="26" t="n"/>
      <c r="D52" s="35">
        <f>IF(AND(B52&lt;&gt;"",C52&lt;&gt;""),IFERROR(INDEX('Учебный план'!$B$2:$AS$24,MATCH(B52,'Учебный план'!$A$2:$A$24,0),MATCH(C52,'Учебный план'!$B$1:$AS$1,0)),""),"")</f>
        <v/>
      </c>
      <c r="E52" s="36" t="n"/>
    </row>
    <row r="53" ht="15" customHeight="1" s="20">
      <c r="A53" s="32" t="n"/>
      <c r="B53" s="32" t="n"/>
      <c r="C53" s="26" t="n"/>
      <c r="D53" s="35">
        <f>IF(AND(B53&lt;&gt;"",C53&lt;&gt;""),IFERROR(INDEX('Учебный план'!$B$2:$AS$24,MATCH(B53,'Учебный план'!$A$2:$A$24,0),MATCH(C53,'Учебный план'!$B$1:$AS$1,0)),""),"")</f>
        <v/>
      </c>
      <c r="E53" s="36" t="n"/>
    </row>
    <row r="54" ht="15" customHeight="1" s="20">
      <c r="A54" s="32" t="n"/>
      <c r="B54" s="32" t="n"/>
      <c r="C54" s="26" t="n"/>
      <c r="D54" s="35">
        <f>IF(AND(B54&lt;&gt;"",C54&lt;&gt;""),IFERROR(INDEX('Учебный план'!$B$2:$AS$24,MATCH(B54,'Учебный план'!$A$2:$A$24,0),MATCH(C54,'Учебный план'!$B$1:$AS$1,0)),""),"")</f>
        <v/>
      </c>
      <c r="E54" s="36" t="n"/>
    </row>
    <row r="55" ht="15" customHeight="1" s="20">
      <c r="A55" s="32" t="n"/>
      <c r="B55" s="32" t="n"/>
      <c r="C55" s="26" t="n"/>
      <c r="D55" s="35">
        <f>IF(AND(B55&lt;&gt;"",C55&lt;&gt;""),IFERROR(INDEX('Учебный план'!$B$2:$AS$24,MATCH(B55,'Учебный план'!$A$2:$A$24,0),MATCH(C55,'Учебный план'!$B$1:$AS$1,0)),""),"")</f>
        <v/>
      </c>
      <c r="E55" s="36" t="n"/>
    </row>
    <row r="56" ht="15" customHeight="1" s="20">
      <c r="A56" s="32" t="n"/>
      <c r="B56" s="32" t="n"/>
      <c r="C56" s="26" t="n"/>
      <c r="D56" s="35">
        <f>IF(AND(B56&lt;&gt;"",C56&lt;&gt;""),IFERROR(INDEX('Учебный план'!$B$2:$AS$24,MATCH(B56,'Учебный план'!$A$2:$A$24,0),MATCH(C56,'Учебный план'!$B$1:$AS$1,0)),""),"")</f>
        <v/>
      </c>
      <c r="E56" s="36" t="n"/>
    </row>
    <row r="57" ht="15" customHeight="1" s="20">
      <c r="A57" s="32" t="n"/>
      <c r="B57" s="32" t="n"/>
      <c r="C57" s="26" t="n"/>
      <c r="D57" s="35">
        <f>IF(AND(B57&lt;&gt;"",C57&lt;&gt;""),IFERROR(INDEX('Учебный план'!$B$2:$AS$24,MATCH(B57,'Учебный план'!$A$2:$A$24,0),MATCH(C57,'Учебный план'!$B$1:$AS$1,0)),""),"")</f>
        <v/>
      </c>
      <c r="E57" s="36" t="n"/>
    </row>
    <row r="58" ht="15" customHeight="1" s="20">
      <c r="A58" s="32" t="n"/>
      <c r="B58" s="32" t="n"/>
      <c r="C58" s="26" t="n"/>
      <c r="D58" s="35">
        <f>IF(AND(B58&lt;&gt;"",C58&lt;&gt;""),IFERROR(INDEX('Учебный план'!$B$2:$AS$24,MATCH(B58,'Учебный план'!$A$2:$A$24,0),MATCH(C58,'Учебный план'!$B$1:$AS$1,0)),""),"")</f>
        <v/>
      </c>
      <c r="E58" s="36" t="n"/>
    </row>
    <row r="59" ht="15" customHeight="1" s="20">
      <c r="A59" s="32" t="n"/>
      <c r="B59" s="32" t="n"/>
      <c r="C59" s="26" t="n"/>
      <c r="D59" s="35">
        <f>IF(AND(B59&lt;&gt;"",C59&lt;&gt;""),IFERROR(INDEX('Учебный план'!$B$2:$AS$24,MATCH(B59,'Учебный план'!$A$2:$A$24,0),MATCH(C59,'Учебный план'!$B$1:$AS$1,0)),""),"")</f>
        <v/>
      </c>
      <c r="E59" s="36" t="n"/>
    </row>
    <row r="60" ht="15" customHeight="1" s="20">
      <c r="A60" s="32" t="n"/>
      <c r="B60" s="32" t="n"/>
      <c r="C60" s="26" t="n"/>
      <c r="D60" s="35">
        <f>IF(AND(B60&lt;&gt;"",C60&lt;&gt;""),IFERROR(INDEX('Учебный план'!$B$2:$AS$24,MATCH(B60,'Учебный план'!$A$2:$A$24,0),MATCH(C60,'Учебный план'!$B$1:$AS$1,0)),""),"")</f>
        <v/>
      </c>
      <c r="E60" s="36" t="n"/>
    </row>
    <row r="61" ht="15" customHeight="1" s="20">
      <c r="A61" s="32" t="n"/>
      <c r="B61" s="32" t="n"/>
      <c r="C61" s="26" t="n"/>
      <c r="D61" s="35">
        <f>IF(AND(B61&lt;&gt;"",C61&lt;&gt;""),IFERROR(INDEX('Учебный план'!$B$2:$AS$24,MATCH(B61,'Учебный план'!$A$2:$A$24,0),MATCH(C61,'Учебный план'!$B$1:$AS$1,0)),""),"")</f>
        <v/>
      </c>
      <c r="E61" s="36" t="n"/>
    </row>
    <row r="62" ht="15" customHeight="1" s="20">
      <c r="A62" s="32" t="n"/>
      <c r="B62" s="32" t="n"/>
      <c r="C62" s="26" t="n"/>
      <c r="D62" s="35">
        <f>IF(AND(B62&lt;&gt;"",C62&lt;&gt;""),IFERROR(INDEX('Учебный план'!$B$2:$AS$24,MATCH(B62,'Учебный план'!$A$2:$A$24,0),MATCH(C62,'Учебный план'!$B$1:$AS$1,0)),""),"")</f>
        <v/>
      </c>
      <c r="E62" s="36" t="n"/>
    </row>
    <row r="63" ht="15" customHeight="1" s="20">
      <c r="A63" s="32" t="n"/>
      <c r="B63" s="32" t="n"/>
      <c r="C63" s="26" t="n"/>
      <c r="D63" s="35">
        <f>IF(AND(B63&lt;&gt;"",C63&lt;&gt;""),IFERROR(INDEX('Учебный план'!$B$2:$AS$24,MATCH(B63,'Учебный план'!$A$2:$A$24,0),MATCH(C63,'Учебный план'!$B$1:$AS$1,0)),""),"")</f>
        <v/>
      </c>
      <c r="E63" s="36" t="n"/>
    </row>
    <row r="64" ht="15" customHeight="1" s="20">
      <c r="A64" s="32" t="n"/>
      <c r="B64" s="32" t="n"/>
      <c r="C64" s="26" t="n"/>
      <c r="D64" s="35">
        <f>IF(AND(B64&lt;&gt;"",C64&lt;&gt;""),IFERROR(INDEX('Учебный план'!$B$2:$AS$24,MATCH(B64,'Учебный план'!$A$2:$A$24,0),MATCH(C64,'Учебный план'!$B$1:$AS$1,0)),""),"")</f>
        <v/>
      </c>
      <c r="E64" s="36" t="n"/>
    </row>
    <row r="65" ht="15" customHeight="1" s="20">
      <c r="A65" s="32" t="n"/>
      <c r="B65" s="32" t="n"/>
      <c r="C65" s="26" t="n"/>
      <c r="D65" s="35">
        <f>IF(AND(B65&lt;&gt;"",C65&lt;&gt;""),IFERROR(INDEX('Учебный план'!$B$2:$AS$24,MATCH(B65,'Учебный план'!$A$2:$A$24,0),MATCH(C65,'Учебный план'!$B$1:$AS$1,0)),""),"")</f>
        <v/>
      </c>
      <c r="E65" s="36" t="n"/>
    </row>
    <row r="66" ht="15" customHeight="1" s="20">
      <c r="A66" s="32" t="n"/>
      <c r="B66" s="32" t="n"/>
      <c r="C66" s="26" t="n"/>
      <c r="D66" s="35">
        <f>IF(AND(B66&lt;&gt;"",C66&lt;&gt;""),IFERROR(INDEX('Учебный план'!$B$2:$AS$24,MATCH(B66,'Учебный план'!$A$2:$A$24,0),MATCH(C66,'Учебный план'!$B$1:$AS$1,0)),""),"")</f>
        <v/>
      </c>
      <c r="E66" s="36" t="n"/>
    </row>
    <row r="67" ht="15" customHeight="1" s="20">
      <c r="A67" s="32" t="n"/>
      <c r="B67" s="32" t="n"/>
      <c r="C67" s="26" t="n"/>
      <c r="D67" s="35">
        <f>IF(AND(B67&lt;&gt;"",C67&lt;&gt;""),IFERROR(INDEX('Учебный план'!$B$2:$AS$24,MATCH(B67,'Учебный план'!$A$2:$A$24,0),MATCH(C67,'Учебный план'!$B$1:$AS$1,0)),""),"")</f>
        <v/>
      </c>
      <c r="E67" s="36" t="n"/>
    </row>
    <row r="68" ht="15" customHeight="1" s="20">
      <c r="A68" s="32" t="n"/>
      <c r="B68" s="32" t="n"/>
      <c r="C68" s="26" t="n"/>
      <c r="D68" s="35">
        <f>IF(AND(B68&lt;&gt;"",C68&lt;&gt;""),IFERROR(INDEX('Учебный план'!$B$2:$AS$24,MATCH(B68,'Учебный план'!$A$2:$A$24,0),MATCH(C68,'Учебный план'!$B$1:$AS$1,0)),""),"")</f>
        <v/>
      </c>
      <c r="E68" s="36" t="n"/>
    </row>
    <row r="69" ht="15" customHeight="1" s="20">
      <c r="A69" s="32" t="n"/>
      <c r="B69" s="32" t="n"/>
      <c r="C69" s="26" t="n"/>
      <c r="D69" s="35">
        <f>IF(AND(B69&lt;&gt;"",C69&lt;&gt;""),IFERROR(INDEX('Учебный план'!$B$2:$AS$24,MATCH(B69,'Учебный план'!$A$2:$A$24,0),MATCH(C69,'Учебный план'!$B$1:$AS$1,0)),""),"")</f>
        <v/>
      </c>
      <c r="E69" s="36" t="n"/>
    </row>
    <row r="70" ht="15" customHeight="1" s="20">
      <c r="A70" s="32" t="n"/>
      <c r="B70" s="32" t="n"/>
      <c r="C70" s="26" t="n"/>
      <c r="D70" s="35">
        <f>IF(AND(B70&lt;&gt;"",C70&lt;&gt;""),IFERROR(INDEX('Учебный план'!$B$2:$AS$24,MATCH(B70,'Учебный план'!$A$2:$A$24,0),MATCH(C70,'Учебный план'!$B$1:$AS$1,0)),""),"")</f>
        <v/>
      </c>
      <c r="E70" s="36" t="n"/>
    </row>
    <row r="71" ht="15" customHeight="1" s="20">
      <c r="A71" s="32" t="n"/>
      <c r="B71" s="32" t="n"/>
      <c r="C71" s="26" t="n"/>
      <c r="D71" s="35">
        <f>IF(AND(B71&lt;&gt;"",C71&lt;&gt;""),IFERROR(INDEX('Учебный план'!$B$2:$AS$24,MATCH(B71,'Учебный план'!$A$2:$A$24,0),MATCH(C71,'Учебный план'!$B$1:$AS$1,0)),""),"")</f>
        <v/>
      </c>
      <c r="E71" s="36" t="n"/>
    </row>
    <row r="72" ht="15" customHeight="1" s="20">
      <c r="A72" s="32" t="n"/>
      <c r="B72" s="32" t="n"/>
      <c r="C72" s="26" t="n"/>
      <c r="D72" s="35">
        <f>IF(AND(B72&lt;&gt;"",C72&lt;&gt;""),IFERROR(INDEX('Учебный план'!$B$2:$AS$24,MATCH(B72,'Учебный план'!$A$2:$A$24,0),MATCH(C72,'Учебный план'!$B$1:$AS$1,0)),""),"")</f>
        <v/>
      </c>
      <c r="E72" s="36" t="n"/>
    </row>
    <row r="73" ht="15" customHeight="1" s="20">
      <c r="A73" s="32" t="n"/>
      <c r="B73" s="32" t="n"/>
      <c r="C73" s="26" t="n"/>
      <c r="D73" s="35">
        <f>IF(AND(B73&lt;&gt;"",C73&lt;&gt;""),IFERROR(INDEX('Учебный план'!$B$2:$AS$24,MATCH(B73,'Учебный план'!$A$2:$A$24,0),MATCH(C73,'Учебный план'!$B$1:$AS$1,0)),""),"")</f>
        <v/>
      </c>
      <c r="E73" s="36" t="n"/>
    </row>
    <row r="74" ht="15" customHeight="1" s="20">
      <c r="A74" s="32" t="n"/>
      <c r="B74" s="32" t="n"/>
      <c r="C74" s="26" t="n"/>
      <c r="D74" s="35">
        <f>IF(AND(B74&lt;&gt;"",C74&lt;&gt;""),IFERROR(INDEX('Учебный план'!$B$2:$AS$24,MATCH(B74,'Учебный план'!$A$2:$A$24,0),MATCH(C74,'Учебный план'!$B$1:$AS$1,0)),""),"")</f>
        <v/>
      </c>
      <c r="E74" s="36" t="n"/>
    </row>
    <row r="75" ht="15" customHeight="1" s="20">
      <c r="A75" s="32" t="n"/>
      <c r="B75" s="32" t="n"/>
      <c r="C75" s="26" t="n"/>
      <c r="D75" s="35">
        <f>IF(AND(B75&lt;&gt;"",C75&lt;&gt;""),IFERROR(INDEX('Учебный план'!$B$2:$AS$24,MATCH(B75,'Учебный план'!$A$2:$A$24,0),MATCH(C75,'Учебный план'!$B$1:$AS$1,0)),""),"")</f>
        <v/>
      </c>
      <c r="E75" s="36" t="n"/>
    </row>
    <row r="76" ht="15" customHeight="1" s="20">
      <c r="A76" s="32" t="n"/>
      <c r="B76" s="32" t="n"/>
      <c r="C76" s="26" t="n"/>
      <c r="D76" s="35">
        <f>IF(AND(B76&lt;&gt;"",C76&lt;&gt;""),IFERROR(INDEX('Учебный план'!$B$2:$AS$24,MATCH(B76,'Учебный план'!$A$2:$A$24,0),MATCH(C76,'Учебный план'!$B$1:$AS$1,0)),""),"")</f>
        <v/>
      </c>
      <c r="E76" s="36" t="n"/>
    </row>
    <row r="77" ht="15" customHeight="1" s="20">
      <c r="A77" s="32" t="n"/>
      <c r="B77" s="32" t="n"/>
      <c r="C77" s="26" t="n"/>
      <c r="D77" s="35">
        <f>IF(AND(B77&lt;&gt;"",C77&lt;&gt;""),IFERROR(INDEX('Учебный план'!$B$2:$AS$24,MATCH(B77,'Учебный план'!$A$2:$A$24,0),MATCH(C77,'Учебный план'!$B$1:$AS$1,0)),""),"")</f>
        <v/>
      </c>
      <c r="E77" s="36" t="n"/>
    </row>
    <row r="78" ht="15" customHeight="1" s="20">
      <c r="A78" s="32" t="n"/>
      <c r="B78" s="32" t="n"/>
      <c r="C78" s="26" t="n"/>
      <c r="D78" s="35">
        <f>IF(AND(B78&lt;&gt;"",C78&lt;&gt;""),IFERROR(INDEX('Учебный план'!$B$2:$AS$24,MATCH(B78,'Учебный план'!$A$2:$A$24,0),MATCH(C78,'Учебный план'!$B$1:$AS$1,0)),""),"")</f>
        <v/>
      </c>
      <c r="E78" s="36" t="n"/>
    </row>
    <row r="79" ht="15" customHeight="1" s="20">
      <c r="A79" s="32" t="n"/>
      <c r="B79" s="32" t="n"/>
      <c r="C79" s="26" t="n"/>
      <c r="D79" s="35">
        <f>IF(AND(B79&lt;&gt;"",C79&lt;&gt;""),IFERROR(INDEX('Учебный план'!$B$2:$AS$24,MATCH(B79,'Учебный план'!$A$2:$A$24,0),MATCH(C79,'Учебный план'!$B$1:$AS$1,0)),""),"")</f>
        <v/>
      </c>
      <c r="E79" s="36" t="n"/>
    </row>
    <row r="80" ht="15" customHeight="1" s="20">
      <c r="A80" s="32" t="n"/>
      <c r="B80" s="32" t="n"/>
      <c r="C80" s="26" t="n"/>
      <c r="D80" s="35">
        <f>IF(AND(B80&lt;&gt;"",C80&lt;&gt;""),IFERROR(INDEX('Учебный план'!$B$2:$AS$24,MATCH(B80,'Учебный план'!$A$2:$A$24,0),MATCH(C80,'Учебный план'!$B$1:$AS$1,0)),""),"")</f>
        <v/>
      </c>
      <c r="E80" s="36" t="n"/>
    </row>
    <row r="81" ht="15" customHeight="1" s="20">
      <c r="A81" s="32" t="n"/>
      <c r="B81" s="32" t="n"/>
      <c r="C81" s="26" t="n"/>
      <c r="D81" s="35">
        <f>IF(AND(B81&lt;&gt;"",C81&lt;&gt;""),IFERROR(INDEX('Учебный план'!$B$2:$AS$24,MATCH(B81,'Учебный план'!$A$2:$A$24,0),MATCH(C81,'Учебный план'!$B$1:$AS$1,0)),""),"")</f>
        <v/>
      </c>
      <c r="E81" s="36" t="n"/>
    </row>
    <row r="82" ht="15" customHeight="1" s="20">
      <c r="A82" s="32" t="n"/>
      <c r="B82" s="32" t="n"/>
      <c r="C82" s="26" t="n"/>
      <c r="D82" s="35">
        <f>IF(AND(B82&lt;&gt;"",C82&lt;&gt;""),IFERROR(INDEX('Учебный план'!$B$2:$AS$24,MATCH(B82,'Учебный план'!$A$2:$A$24,0),MATCH(C82,'Учебный план'!$B$1:$AS$1,0)),""),"")</f>
        <v/>
      </c>
      <c r="E82" s="36" t="n"/>
    </row>
    <row r="83" ht="15" customHeight="1" s="20">
      <c r="A83" s="32" t="n"/>
      <c r="B83" s="32" t="n"/>
      <c r="C83" s="26" t="n"/>
      <c r="D83" s="35">
        <f>IF(AND(B83&lt;&gt;"",C83&lt;&gt;""),IFERROR(INDEX('Учебный план'!$B$2:$AS$24,MATCH(B83,'Учебный план'!$A$2:$A$24,0),MATCH(C83,'Учебный план'!$B$1:$AS$1,0)),""),"")</f>
        <v/>
      </c>
      <c r="E83" s="36" t="n"/>
    </row>
    <row r="84" ht="15" customHeight="1" s="20">
      <c r="A84" s="32" t="n"/>
      <c r="B84" s="32" t="n"/>
      <c r="C84" s="26" t="n"/>
      <c r="D84" s="35">
        <f>IF(AND(B84&lt;&gt;"",C84&lt;&gt;""),IFERROR(INDEX('Учебный план'!$B$2:$AS$24,MATCH(B84,'Учебный план'!$A$2:$A$24,0),MATCH(C84,'Учебный план'!$B$1:$AS$1,0)),""),"")</f>
        <v/>
      </c>
      <c r="E84" s="36" t="n"/>
    </row>
    <row r="85" ht="15" customHeight="1" s="20">
      <c r="A85" s="32" t="n"/>
      <c r="B85" s="32" t="n"/>
      <c r="C85" s="26" t="n"/>
      <c r="D85" s="35">
        <f>IF(AND(B85&lt;&gt;"",C85&lt;&gt;""),IFERROR(INDEX('Учебный план'!$B$2:$AS$24,MATCH(B85,'Учебный план'!$A$2:$A$24,0),MATCH(C85,'Учебный план'!$B$1:$AS$1,0)),""),"")</f>
        <v/>
      </c>
      <c r="E85" s="36" t="n"/>
    </row>
    <row r="86" ht="15" customHeight="1" s="20">
      <c r="A86" s="32" t="n"/>
      <c r="B86" s="32" t="n"/>
      <c r="C86" s="26" t="n"/>
      <c r="D86" s="35">
        <f>IF(AND(B86&lt;&gt;"",C86&lt;&gt;""),IFERROR(INDEX('Учебный план'!$B$2:$AS$24,MATCH(B86,'Учебный план'!$A$2:$A$24,0),MATCH(C86,'Учебный план'!$B$1:$AS$1,0)),""),"")</f>
        <v/>
      </c>
      <c r="E86" s="36" t="n"/>
    </row>
    <row r="87" ht="15" customHeight="1" s="20">
      <c r="A87" s="32" t="n"/>
      <c r="B87" s="32" t="n"/>
      <c r="C87" s="26" t="n"/>
      <c r="D87" s="35">
        <f>IF(AND(B87&lt;&gt;"",C87&lt;&gt;""),IFERROR(INDEX('Учебный план'!$B$2:$AS$24,MATCH(B87,'Учебный план'!$A$2:$A$24,0),MATCH(C87,'Учебный план'!$B$1:$AS$1,0)),""),"")</f>
        <v/>
      </c>
      <c r="E87" s="36" t="n"/>
    </row>
    <row r="88" ht="15" customHeight="1" s="20">
      <c r="A88" s="32" t="n"/>
      <c r="B88" s="32" t="n"/>
      <c r="C88" s="26" t="n"/>
      <c r="D88" s="35">
        <f>IF(AND(B88&lt;&gt;"",C88&lt;&gt;""),IFERROR(INDEX('Учебный план'!$B$2:$AS$24,MATCH(B88,'Учебный план'!$A$2:$A$24,0),MATCH(C88,'Учебный план'!$B$1:$AS$1,0)),""),"")</f>
        <v/>
      </c>
      <c r="E88" s="36" t="n"/>
    </row>
    <row r="89" ht="15" customHeight="1" s="20">
      <c r="A89" s="32" t="n"/>
      <c r="B89" s="32" t="n"/>
      <c r="C89" s="26" t="n"/>
      <c r="D89" s="35">
        <f>IF(AND(B89&lt;&gt;"",C89&lt;&gt;""),IFERROR(INDEX('Учебный план'!$B$2:$AS$24,MATCH(B89,'Учебный план'!$A$2:$A$24,0),MATCH(C89,'Учебный план'!$B$1:$AS$1,0)),""),"")</f>
        <v/>
      </c>
      <c r="E89" s="36" t="n"/>
    </row>
    <row r="90" ht="15" customHeight="1" s="20">
      <c r="A90" s="32" t="n"/>
      <c r="B90" s="32" t="n"/>
      <c r="C90" s="26" t="n"/>
      <c r="D90" s="35">
        <f>IF(AND(B90&lt;&gt;"",C90&lt;&gt;""),IFERROR(INDEX('Учебный план'!$B$2:$AS$24,MATCH(B90,'Учебный план'!$A$2:$A$24,0),MATCH(C90,'Учебный план'!$B$1:$AS$1,0)),""),"")</f>
        <v/>
      </c>
      <c r="E90" s="36" t="n"/>
    </row>
    <row r="91" ht="15" customHeight="1" s="20">
      <c r="A91" s="32" t="n"/>
      <c r="B91" s="32" t="n"/>
      <c r="C91" s="26" t="n"/>
      <c r="D91" s="35">
        <f>IF(AND(B91&lt;&gt;"",C91&lt;&gt;""),IFERROR(INDEX('Учебный план'!$B$2:$AS$24,MATCH(B91,'Учебный план'!$A$2:$A$24,0),MATCH(C91,'Учебный план'!$B$1:$AS$1,0)),""),"")</f>
        <v/>
      </c>
      <c r="E91" s="36" t="n"/>
    </row>
    <row r="92" ht="15" customHeight="1" s="20">
      <c r="A92" s="32" t="n"/>
      <c r="B92" s="32" t="n"/>
      <c r="C92" s="26" t="n"/>
      <c r="D92" s="35">
        <f>IF(AND(B92&lt;&gt;"",C92&lt;&gt;""),IFERROR(INDEX('Учебный план'!$B$2:$AS$24,MATCH(B92,'Учебный план'!$A$2:$A$24,0),MATCH(C92,'Учебный план'!$B$1:$AS$1,0)),""),"")</f>
        <v/>
      </c>
      <c r="E92" s="36" t="n"/>
    </row>
    <row r="93" ht="15" customHeight="1" s="20">
      <c r="A93" s="32" t="n"/>
      <c r="B93" s="32" t="n"/>
      <c r="C93" s="26" t="n"/>
      <c r="D93" s="35">
        <f>IF(AND(B93&lt;&gt;"",C93&lt;&gt;""),IFERROR(INDEX('Учебный план'!$B$2:$AS$24,MATCH(B93,'Учебный план'!$A$2:$A$24,0),MATCH(C93,'Учебный план'!$B$1:$AS$1,0)),""),"")</f>
        <v/>
      </c>
      <c r="E93" s="36" t="n"/>
    </row>
    <row r="94" ht="15" customHeight="1" s="20">
      <c r="A94" s="32" t="n"/>
      <c r="B94" s="32" t="n"/>
      <c r="C94" s="26" t="n"/>
      <c r="D94" s="35">
        <f>IF(AND(B94&lt;&gt;"",C94&lt;&gt;""),IFERROR(INDEX('Учебный план'!$B$2:$AS$24,MATCH(B94,'Учебный план'!$A$2:$A$24,0),MATCH(C94,'Учебный план'!$B$1:$AS$1,0)),""),"")</f>
        <v/>
      </c>
      <c r="E94" s="36" t="n"/>
    </row>
    <row r="95" ht="15" customHeight="1" s="20">
      <c r="A95" s="32" t="n"/>
      <c r="B95" s="32" t="n"/>
      <c r="C95" s="26" t="n"/>
      <c r="D95" s="35">
        <f>IF(AND(B95&lt;&gt;"",C95&lt;&gt;""),IFERROR(INDEX('Учебный план'!$B$2:$AS$24,MATCH(B95,'Учебный план'!$A$2:$A$24,0),MATCH(C95,'Учебный план'!$B$1:$AS$1,0)),""),"")</f>
        <v/>
      </c>
      <c r="E95" s="36" t="n"/>
    </row>
    <row r="96" ht="15" customHeight="1" s="20">
      <c r="A96" s="32" t="n"/>
      <c r="B96" s="32" t="n"/>
      <c r="C96" s="26" t="n"/>
      <c r="D96" s="35">
        <f>IF(AND(B96&lt;&gt;"",C96&lt;&gt;""),IFERROR(INDEX('Учебный план'!$B$2:$AS$24,MATCH(B96,'Учебный план'!$A$2:$A$24,0),MATCH(C96,'Учебный план'!$B$1:$AS$1,0)),""),"")</f>
        <v/>
      </c>
      <c r="E96" s="36" t="n"/>
    </row>
    <row r="97" ht="15" customHeight="1" s="20">
      <c r="A97" s="32" t="n"/>
      <c r="B97" s="32" t="n"/>
      <c r="C97" s="26" t="n"/>
      <c r="D97" s="35">
        <f>IF(AND(B97&lt;&gt;"",C97&lt;&gt;""),IFERROR(INDEX('Учебный план'!$B$2:$AS$24,MATCH(B97,'Учебный план'!$A$2:$A$24,0),MATCH(C97,'Учебный план'!$B$1:$AS$1,0)),""),"")</f>
        <v/>
      </c>
      <c r="E97" s="36" t="n"/>
    </row>
    <row r="98" ht="15" customHeight="1" s="20">
      <c r="A98" s="32" t="n"/>
      <c r="B98" s="32" t="n"/>
      <c r="C98" s="26" t="n"/>
      <c r="D98" s="35">
        <f>IF(AND(B98&lt;&gt;"",C98&lt;&gt;""),IFERROR(INDEX('Учебный план'!$B$2:$AS$24,MATCH(B98,'Учебный план'!$A$2:$A$24,0),MATCH(C98,'Учебный план'!$B$1:$AS$1,0)),""),"")</f>
        <v/>
      </c>
      <c r="E98" s="36" t="n"/>
    </row>
    <row r="99" ht="15" customHeight="1" s="20">
      <c r="A99" s="32" t="n"/>
      <c r="B99" s="32" t="n"/>
      <c r="C99" s="26" t="n"/>
      <c r="D99" s="35">
        <f>IF(AND(B99&lt;&gt;"",C99&lt;&gt;""),IFERROR(INDEX('Учебный план'!$B$2:$AS$24,MATCH(B99,'Учебный план'!$A$2:$A$24,0),MATCH(C99,'Учебный план'!$B$1:$AS$1,0)),""),"")</f>
        <v/>
      </c>
      <c r="E99" s="36" t="n"/>
    </row>
    <row r="100" ht="15" customHeight="1" s="20">
      <c r="A100" s="32" t="n"/>
      <c r="B100" s="32" t="n"/>
      <c r="C100" s="26" t="n"/>
      <c r="D100" s="35">
        <f>IF(AND(B100&lt;&gt;"",C100&lt;&gt;""),IFERROR(INDEX('Учебный план'!$B$2:$AS$24,MATCH(B100,'Учебный план'!$A$2:$A$24,0),MATCH(C100,'Учебный план'!$B$1:$AS$1,0)),""),"")</f>
        <v/>
      </c>
      <c r="E100" s="36" t="n"/>
    </row>
    <row r="101" ht="15" customHeight="1" s="20">
      <c r="A101" s="32" t="n"/>
      <c r="B101" s="32" t="n"/>
      <c r="C101" s="26" t="n"/>
      <c r="D101" s="35">
        <f>IF(AND(B101&lt;&gt;"",C101&lt;&gt;""),IFERROR(INDEX('Учебный план'!$B$2:$AS$24,MATCH(B101,'Учебный план'!$A$2:$A$24,0),MATCH(C101,'Учебный план'!$B$1:$AS$1,0)),""),"")</f>
        <v/>
      </c>
      <c r="E101" s="36" t="n"/>
    </row>
    <row r="102" ht="15" customHeight="1" s="20">
      <c r="A102" s="32" t="n"/>
      <c r="B102" s="32" t="n"/>
      <c r="C102" s="26" t="n"/>
      <c r="D102" s="35">
        <f>IF(AND(B102&lt;&gt;"",C102&lt;&gt;""),IFERROR(INDEX('Учебный план'!$B$2:$AS$24,MATCH(B102,'Учебный план'!$A$2:$A$24,0),MATCH(C102,'Учебный план'!$B$1:$AS$1,0)),""),"")</f>
        <v/>
      </c>
      <c r="E102" s="36" t="n"/>
    </row>
    <row r="103" ht="15" customHeight="1" s="20">
      <c r="A103" s="32" t="n"/>
      <c r="B103" s="32" t="n"/>
      <c r="C103" s="26" t="n"/>
      <c r="D103" s="35">
        <f>IF(AND(B103&lt;&gt;"",C103&lt;&gt;""),IFERROR(INDEX('Учебный план'!$B$2:$AS$24,MATCH(B103,'Учебный план'!$A$2:$A$24,0),MATCH(C103,'Учебный план'!$B$1:$AS$1,0)),""),"")</f>
        <v/>
      </c>
      <c r="E103" s="36" t="n"/>
    </row>
    <row r="104" ht="15" customHeight="1" s="20">
      <c r="A104" s="32" t="n"/>
      <c r="B104" s="32" t="n"/>
      <c r="C104" s="26" t="n"/>
      <c r="D104" s="35">
        <f>IF(AND(B104&lt;&gt;"",C104&lt;&gt;""),IFERROR(INDEX('Учебный план'!$B$2:$AS$24,MATCH(B104,'Учебный план'!$A$2:$A$24,0),MATCH(C104,'Учебный план'!$B$1:$AS$1,0)),""),"")</f>
        <v/>
      </c>
      <c r="E104" s="36" t="n"/>
    </row>
    <row r="105" ht="15" customHeight="1" s="20">
      <c r="A105" s="32" t="n"/>
      <c r="B105" s="32" t="n"/>
      <c r="C105" s="26" t="n"/>
      <c r="D105" s="35">
        <f>IF(AND(B105&lt;&gt;"",C105&lt;&gt;""),IFERROR(INDEX('Учебный план'!$B$2:$AS$24,MATCH(B105,'Учебный план'!$A$2:$A$24,0),MATCH(C105,'Учебный план'!$B$1:$AS$1,0)),""),"")</f>
        <v/>
      </c>
      <c r="E105" s="36" t="n"/>
    </row>
    <row r="106" ht="15" customHeight="1" s="20">
      <c r="A106" s="32" t="n"/>
      <c r="B106" s="32" t="n"/>
      <c r="C106" s="26" t="n"/>
      <c r="D106" s="35">
        <f>IF(AND(B106&lt;&gt;"",C106&lt;&gt;""),IFERROR(INDEX('Учебный план'!$B$2:$AS$24,MATCH(B106,'Учебный план'!$A$2:$A$24,0),MATCH(C106,'Учебный план'!$B$1:$AS$1,0)),""),"")</f>
        <v/>
      </c>
      <c r="E106" s="36" t="n"/>
    </row>
    <row r="107" ht="15" customHeight="1" s="20">
      <c r="A107" s="32" t="n"/>
      <c r="B107" s="32" t="n"/>
      <c r="C107" s="26" t="n"/>
      <c r="D107" s="35">
        <f>IF(AND(B107&lt;&gt;"",C107&lt;&gt;""),IFERROR(INDEX('Учебный план'!$B$2:$AS$24,MATCH(B107,'Учебный план'!$A$2:$A$24,0),MATCH(C107,'Учебный план'!$B$1:$AS$1,0)),""),"")</f>
        <v/>
      </c>
      <c r="E107" s="36" t="n"/>
    </row>
    <row r="108" ht="15" customHeight="1" s="20">
      <c r="A108" s="32" t="n"/>
      <c r="B108" s="32" t="n"/>
      <c r="C108" s="26" t="n"/>
      <c r="D108" s="35">
        <f>IF(AND(B108&lt;&gt;"",C108&lt;&gt;""),IFERROR(INDEX('Учебный план'!$B$2:$AS$24,MATCH(B108,'Учебный план'!$A$2:$A$24,0),MATCH(C108,'Учебный план'!$B$1:$AS$1,0)),""),"")</f>
        <v/>
      </c>
      <c r="E108" s="36" t="n"/>
    </row>
    <row r="109" ht="15" customHeight="1" s="20">
      <c r="A109" s="32" t="n"/>
      <c r="B109" s="32" t="n"/>
      <c r="C109" s="26" t="n"/>
      <c r="D109" s="35">
        <f>IF(AND(B109&lt;&gt;"",C109&lt;&gt;""),IFERROR(INDEX('Учебный план'!$B$2:$AS$24,MATCH(B109,'Учебный план'!$A$2:$A$24,0),MATCH(C109,'Учебный план'!$B$1:$AS$1,0)),""),"")</f>
        <v/>
      </c>
      <c r="E109" s="36" t="n"/>
    </row>
  </sheetData>
  <conditionalFormatting sqref="D2:D109">
    <cfRule type="expression" rank="0" priority="2" equalAverage="0" aboveAverage="0" dxfId="0" text="" percent="0" bottom="0">
      <formula>AND($B2&lt;&gt;"",$C2&lt;&gt;"",ISNUMBER(D2),SUMIFS($D:$D,$B:$B,$B2,$C:$C,$C2)&lt;&gt;INDEX('Учебный план'!$B$2:$AS$24,MATCH($B2,'Учебный план'!$A$2:$A$24,0),MATCH($C2,'Учебный план'!$B$1:$AS$1,0)))</formula>
    </cfRule>
  </conditionalFormatting>
  <dataValidations count="3">
    <dataValidation sqref="A2:A109" showDropDown="0" showInputMessage="0" showErrorMessage="0" allowBlank="1" type="list" errorStyle="stop" operator="between">
      <formula1>Учителя!$A$2:$A$26</formula1>
      <formula2>0</formula2>
    </dataValidation>
    <dataValidation sqref="B2:B109" showDropDown="0" showInputMessage="0" showErrorMessage="0" allowBlank="1" type="list" errorStyle="stop" operator="between">
      <formula1>'Учебный план'!$A$2:$A$24</formula1>
      <formula2>0</formula2>
    </dataValidation>
    <dataValidation sqref="C2:C109" showDropDown="0" showInputMessage="0" showErrorMessage="0" allowBlank="1" type="list" errorStyle="stop" operator="between">
      <formula1>"1А,1Б,1В,1Г,2А,2Б,2В,2Г,3А,3Б,3В,3Г,4А,4Б,4В,4Г,5А,5Б,5В,5Г,6А,6Б,6В,6Г,7А,7Б,7В,7Г,8А,8Б,8В,8Г,9А,9Б,9В,9Г,10А,10Б,10В,10Г,11А,11Б,11В,11Г"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19" min="1" max="1"/>
    <col width="16" customWidth="1" style="19" min="2" max="2"/>
    <col width="18" customWidth="1" style="19" min="3" max="3"/>
    <col width="14" customWidth="1" style="19" min="4" max="4"/>
  </cols>
  <sheetData>
    <row r="1" ht="31.5" customHeight="1" s="20">
      <c r="A1" s="24" t="inlineStr">
        <is>
          <t>ФИО</t>
        </is>
      </c>
      <c r="B1" s="24" t="inlineStr">
        <is>
          <t>Методический день</t>
        </is>
      </c>
      <c r="C1" s="24" t="inlineStr">
        <is>
          <t>Недоступные дни</t>
        </is>
      </c>
      <c r="D1" s="24" t="inlineStr">
        <is>
          <t>Макс. уроков/день</t>
        </is>
      </c>
    </row>
    <row r="2" ht="15" customHeight="1" s="20">
      <c r="A2" s="30" t="inlineStr">
        <is>
          <t>Иванова Анна Петровна</t>
        </is>
      </c>
      <c r="B2" s="30" t="inlineStr">
        <is>
          <t>Чт</t>
        </is>
      </c>
      <c r="C2" s="30" t="n"/>
      <c r="D2" s="30" t="n">
        <v>6</v>
      </c>
    </row>
    <row r="3" ht="15" customHeight="1" s="20">
      <c r="A3" s="30" t="inlineStr">
        <is>
          <t>Петров Сергей Николаевич</t>
        </is>
      </c>
      <c r="B3" s="30" t="inlineStr">
        <is>
          <t>Ср</t>
        </is>
      </c>
      <c r="C3" s="30" t="n"/>
      <c r="D3" s="30" t="n">
        <v>6</v>
      </c>
    </row>
    <row r="4" ht="15" customHeight="1" s="20">
      <c r="A4" s="30" t="inlineStr">
        <is>
          <t>Сидорова Елена Викторовна</t>
        </is>
      </c>
      <c r="B4" s="30" t="inlineStr">
        <is>
          <t>Чт</t>
        </is>
      </c>
      <c r="C4" s="30" t="n"/>
      <c r="D4" s="30" t="n">
        <v>6</v>
      </c>
    </row>
    <row r="5" ht="15" customHeight="1" s="20">
      <c r="A5" s="30" t="inlineStr">
        <is>
          <t>Кузнецов Дмитрий Александрович</t>
        </is>
      </c>
      <c r="B5" s="30" t="inlineStr">
        <is>
          <t>Пт</t>
        </is>
      </c>
      <c r="C5" s="30" t="n"/>
      <c r="D5" s="30" t="n">
        <v>5</v>
      </c>
    </row>
    <row r="6" ht="15" customHeight="1" s="20">
      <c r="A6" s="30" t="inlineStr">
        <is>
          <t>Морозова Татьяна Игоревна</t>
        </is>
      </c>
      <c r="B6" s="30" t="inlineStr">
        <is>
          <t>Чт</t>
        </is>
      </c>
      <c r="C6" s="30" t="n"/>
      <c r="D6" s="30" t="n">
        <v>5</v>
      </c>
    </row>
    <row r="7" ht="15" customHeight="1" s="20">
      <c r="A7" s="30" t="inlineStr">
        <is>
          <t>Новикова Мария Александровна</t>
        </is>
      </c>
      <c r="B7" s="30" t="n"/>
      <c r="C7" s="30" t="inlineStr">
        <is>
          <t>Вт,Чт,Сб</t>
        </is>
      </c>
      <c r="D7" s="30" t="n">
        <v>4</v>
      </c>
    </row>
    <row r="8" ht="15" customHeight="1" s="20">
      <c r="A8" s="30" t="inlineStr">
        <is>
          <t>Орлов Алексей Викторович</t>
        </is>
      </c>
      <c r="B8" s="30" t="n"/>
      <c r="C8" s="30" t="inlineStr">
        <is>
          <t>Пн,Ср,Пт,Сб</t>
        </is>
      </c>
      <c r="D8" s="30" t="n">
        <v>4</v>
      </c>
    </row>
    <row r="9" ht="15" customHeight="1" s="20">
      <c r="A9" s="32" t="n"/>
      <c r="B9" s="36" t="n"/>
      <c r="C9" s="36" t="n"/>
      <c r="D9" s="36" t="n"/>
    </row>
    <row r="10" ht="15" customHeight="1" s="20">
      <c r="A10" s="32" t="n"/>
      <c r="B10" s="36" t="n"/>
      <c r="C10" s="36" t="n"/>
      <c r="D10" s="36" t="n"/>
    </row>
    <row r="11" ht="15" customHeight="1" s="20">
      <c r="A11" s="32" t="n"/>
      <c r="B11" s="36" t="n"/>
      <c r="C11" s="36" t="n"/>
      <c r="D11" s="36" t="n"/>
    </row>
    <row r="12" ht="15" customHeight="1" s="20">
      <c r="A12" s="32" t="n"/>
      <c r="B12" s="36" t="n"/>
      <c r="C12" s="36" t="n"/>
      <c r="D12" s="36" t="n"/>
    </row>
    <row r="13" ht="15" customHeight="1" s="20">
      <c r="A13" s="32" t="n"/>
      <c r="B13" s="36" t="n"/>
      <c r="C13" s="36" t="n"/>
      <c r="D13" s="36" t="n"/>
    </row>
    <row r="14" ht="15" customHeight="1" s="20">
      <c r="A14" s="32" t="n"/>
      <c r="B14" s="36" t="n"/>
      <c r="C14" s="36" t="n"/>
      <c r="D14" s="36" t="n"/>
    </row>
    <row r="15" ht="15" customHeight="1" s="20">
      <c r="A15" s="32" t="n"/>
      <c r="B15" s="36" t="n"/>
      <c r="C15" s="36" t="n"/>
      <c r="D15" s="36" t="n"/>
    </row>
    <row r="16" ht="15" customHeight="1" s="20">
      <c r="A16" s="32" t="n"/>
      <c r="B16" s="36" t="n"/>
      <c r="C16" s="36" t="n"/>
      <c r="D16" s="36" t="n"/>
    </row>
    <row r="17" ht="15" customHeight="1" s="20">
      <c r="A17" s="32" t="n"/>
      <c r="B17" s="36" t="n"/>
      <c r="C17" s="36" t="n"/>
      <c r="D17" s="36" t="n"/>
    </row>
    <row r="18" ht="15" customHeight="1" s="20">
      <c r="A18" s="32" t="n"/>
      <c r="B18" s="36" t="n"/>
      <c r="C18" s="36" t="n"/>
      <c r="D18" s="36" t="n"/>
    </row>
  </sheetData>
  <dataValidations count="2">
    <dataValidation sqref="A2:A18" showDropDown="0" showInputMessage="0" showErrorMessage="0" allowBlank="1" type="list" errorStyle="stop" operator="between">
      <formula1>Учителя!$A$2:$A$26</formula1>
      <formula2>0</formula2>
    </dataValidation>
    <dataValidation sqref="B2:B18" showDropDown="0" showInputMessage="0" showErrorMessage="0" allowBlank="1" type="list" errorStyle="stop" operator="between">
      <formula1>"Пн,Вт,Ср,Чт,Пт,Сб"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9" min="1" max="1"/>
    <col width="24" customWidth="1" style="19" min="2" max="2"/>
    <col width="14" customWidth="1" style="20" min="3" max="3"/>
    <col width="8" customWidth="1" style="20" min="4" max="4"/>
    <col width="30" customWidth="1" style="20" min="5" max="5"/>
  </cols>
  <sheetData>
    <row r="1" ht="31.5" customHeight="1" s="20">
      <c r="A1" s="37" t="inlineStr">
        <is>
          <t>№</t>
        </is>
      </c>
      <c r="B1" s="37" t="inlineStr">
        <is>
          <t>Тип</t>
        </is>
      </c>
      <c r="C1" s="38" t="inlineStr">
        <is>
          <t>Вместимость</t>
        </is>
      </c>
      <c r="D1" s="38" t="inlineStr">
        <is>
          <t>Этаж</t>
        </is>
      </c>
      <c r="E1" s="38" t="inlineStr">
        <is>
          <t>Оборудование</t>
        </is>
      </c>
    </row>
    <row r="2" ht="15" customHeight="1" s="20">
      <c r="A2" s="33" t="n">
        <v>201</v>
      </c>
      <c r="B2" s="30" t="inlineStr">
        <is>
          <t>Информатика</t>
        </is>
      </c>
      <c r="C2" s="19" t="n">
        <v>30</v>
      </c>
      <c r="D2" s="19" t="n">
        <v>2</v>
      </c>
      <c r="E2" s="19" t="inlineStr">
        <is>
          <t>Компьютеры, проектор</t>
        </is>
      </c>
    </row>
    <row r="3" ht="15" customHeight="1" s="20">
      <c r="A3" s="33" t="n">
        <v>213</v>
      </c>
      <c r="B3" s="30" t="inlineStr">
        <is>
          <t>Иностранный язык</t>
        </is>
      </c>
      <c r="C3" s="19" t="n">
        <v>28</v>
      </c>
      <c r="D3" s="19" t="n">
        <v>2</v>
      </c>
      <c r="E3" s="19" t="inlineStr">
        <is>
          <t>Проектор</t>
        </is>
      </c>
    </row>
    <row r="4" ht="15" customHeight="1" s="20">
      <c r="A4" s="33" t="n">
        <v>305</v>
      </c>
      <c r="B4" s="30" t="inlineStr">
        <is>
          <t>Физика</t>
        </is>
      </c>
      <c r="C4" s="19" t="n">
        <v>25</v>
      </c>
      <c r="D4" s="19" t="n">
        <v>3</v>
      </c>
      <c r="E4" s="19" t="inlineStr">
        <is>
          <t>Лабораторные столы, вытяжка</t>
        </is>
      </c>
    </row>
    <row r="5" ht="15" customHeight="1" s="20">
      <c r="A5" s="33" t="n">
        <v>310</v>
      </c>
      <c r="B5" s="30" t="inlineStr">
        <is>
          <t>Химия</t>
        </is>
      </c>
      <c r="C5" s="19" t="n">
        <v>25</v>
      </c>
      <c r="D5" s="19" t="n">
        <v>3</v>
      </c>
      <c r="E5" s="19" t="inlineStr">
        <is>
          <t>Лабораторные столы, вытяжка</t>
        </is>
      </c>
    </row>
    <row r="6" ht="15" customHeight="1" s="20">
      <c r="A6" s="33" t="n">
        <v>312</v>
      </c>
      <c r="B6" s="30" t="inlineStr">
        <is>
          <t>Биология</t>
        </is>
      </c>
      <c r="C6" s="19" t="n">
        <v>28</v>
      </c>
      <c r="D6" s="19" t="n">
        <v>3</v>
      </c>
      <c r="E6" s="19" t="inlineStr">
        <is>
          <t>Микроскопы</t>
        </is>
      </c>
    </row>
    <row r="7" ht="15" customHeight="1" s="20">
      <c r="A7" s="33" t="inlineStr">
        <is>
          <t>Спортзал</t>
        </is>
      </c>
      <c r="B7" s="30" t="inlineStr">
        <is>
          <t>Спортзал</t>
        </is>
      </c>
      <c r="C7" s="19" t="n">
        <v>60</v>
      </c>
      <c r="D7" s="19" t="n">
        <v>1</v>
      </c>
      <c r="E7" s="19" t="inlineStr">
        <is>
          <t>Маты, снаряды</t>
        </is>
      </c>
    </row>
    <row r="8" ht="15" customHeight="1" s="20">
      <c r="A8" s="33" t="inlineStr">
        <is>
          <t>Мастерская</t>
        </is>
      </c>
      <c r="B8" s="30" t="inlineStr">
        <is>
          <t>Мастерская</t>
        </is>
      </c>
      <c r="C8" s="19" t="n">
        <v>20</v>
      </c>
      <c r="D8" s="19" t="n">
        <v>1</v>
      </c>
      <c r="E8" s="19" t="inlineStr">
        <is>
          <t>Станки, верстаки</t>
        </is>
      </c>
    </row>
    <row r="9" ht="15" customHeight="1" s="20">
      <c r="A9" s="33" t="inlineStr">
        <is>
          <t>Актовый зал</t>
        </is>
      </c>
      <c r="B9" s="30" t="inlineStr">
        <is>
          <t>Актовый зал</t>
        </is>
      </c>
      <c r="C9" s="19" t="n">
        <v>150</v>
      </c>
      <c r="D9" s="19" t="n">
        <v>1</v>
      </c>
      <c r="E9" s="19" t="inlineStr">
        <is>
          <t>Сцена, звук</t>
        </is>
      </c>
    </row>
    <row r="10" ht="15" customHeight="1" s="20">
      <c r="A10" s="32" t="n"/>
      <c r="B10" s="32" t="n"/>
    </row>
    <row r="11" ht="15" customHeight="1" s="20">
      <c r="A11" s="32" t="n"/>
      <c r="B11" s="32" t="n"/>
    </row>
    <row r="12" ht="15" customHeight="1" s="20">
      <c r="A12" s="32" t="n"/>
      <c r="B12" s="32" t="n"/>
    </row>
    <row r="13" ht="15" customHeight="1" s="20">
      <c r="A13" s="32" t="n"/>
      <c r="B13" s="32" t="n"/>
    </row>
    <row r="14" ht="15" customHeight="1" s="20">
      <c r="A14" s="32" t="n"/>
      <c r="B14" s="32" t="n"/>
    </row>
    <row r="15" ht="15" customHeight="1" s="20">
      <c r="A15" s="32" t="n"/>
      <c r="B15" s="32" t="n"/>
    </row>
  </sheetData>
  <dataValidations count="1">
    <dataValidation sqref="B2:B15" showDropDown="0" showInputMessage="0" showErrorMessage="0" allowBlank="1" type="list" errorStyle="stop" operator="between">
      <formula1>Справочники!$C$5:$C$38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0" customWidth="1" style="20" min="1" max="1"/>
    <col width="18" customWidth="1" style="20" min="2" max="2"/>
    <col width="10" customWidth="1" style="20" min="3" max="3"/>
  </cols>
  <sheetData>
    <row r="1">
      <c r="A1" s="38" t="inlineStr">
        <is>
          <t>Класс</t>
        </is>
      </c>
      <c r="B1" s="38" t="inlineStr">
        <is>
          <t>Кол-во учеников</t>
        </is>
      </c>
      <c r="C1" s="38" t="inlineStr">
        <is>
          <t>Смена</t>
        </is>
      </c>
    </row>
    <row r="2">
      <c r="A2" s="19" t="inlineStr">
        <is>
          <t>1А</t>
        </is>
      </c>
      <c r="B2" s="19" t="n">
        <v>25</v>
      </c>
      <c r="C2" t="n">
        <v>1</v>
      </c>
    </row>
    <row r="3">
      <c r="A3" s="19" t="inlineStr">
        <is>
          <t>1Б</t>
        </is>
      </c>
      <c r="B3" s="19" t="n">
        <v>25</v>
      </c>
      <c r="C3" t="n">
        <v>1</v>
      </c>
    </row>
    <row r="4">
      <c r="A4" s="19" t="inlineStr">
        <is>
          <t>1В</t>
        </is>
      </c>
      <c r="B4" s="19" t="n">
        <v>25</v>
      </c>
      <c r="C4" t="n">
        <v>1</v>
      </c>
    </row>
    <row r="5">
      <c r="A5" s="19" t="inlineStr">
        <is>
          <t>1Г</t>
        </is>
      </c>
      <c r="B5" s="19" t="n">
        <v>25</v>
      </c>
      <c r="C5" t="n">
        <v>1</v>
      </c>
    </row>
    <row r="6">
      <c r="A6" s="19" t="inlineStr">
        <is>
          <t>2А</t>
        </is>
      </c>
      <c r="B6" s="19" t="n">
        <v>25</v>
      </c>
      <c r="C6" t="n">
        <v>1</v>
      </c>
    </row>
    <row r="7">
      <c r="A7" s="19" t="inlineStr">
        <is>
          <t>2Б</t>
        </is>
      </c>
      <c r="B7" s="19" t="n">
        <v>25</v>
      </c>
      <c r="C7" t="n">
        <v>1</v>
      </c>
    </row>
    <row r="8">
      <c r="A8" s="19" t="inlineStr">
        <is>
          <t>2В</t>
        </is>
      </c>
      <c r="B8" s="19" t="n">
        <v>25</v>
      </c>
      <c r="C8" t="n">
        <v>1</v>
      </c>
    </row>
    <row r="9">
      <c r="A9" s="19" t="inlineStr">
        <is>
          <t>2Г</t>
        </is>
      </c>
      <c r="B9" s="19" t="n">
        <v>25</v>
      </c>
      <c r="C9" t="n">
        <v>1</v>
      </c>
    </row>
    <row r="10">
      <c r="A10" s="19" t="inlineStr">
        <is>
          <t>3А</t>
        </is>
      </c>
      <c r="B10" s="19" t="n">
        <v>25</v>
      </c>
      <c r="C10" t="n">
        <v>1</v>
      </c>
    </row>
    <row r="11">
      <c r="A11" s="19" t="inlineStr">
        <is>
          <t>3Б</t>
        </is>
      </c>
      <c r="B11" s="19" t="n">
        <v>25</v>
      </c>
      <c r="C11" t="n">
        <v>1</v>
      </c>
    </row>
    <row r="12">
      <c r="A12" s="19" t="inlineStr">
        <is>
          <t>3В</t>
        </is>
      </c>
      <c r="B12" s="19" t="n">
        <v>25</v>
      </c>
      <c r="C12" t="n">
        <v>1</v>
      </c>
    </row>
    <row r="13">
      <c r="A13" s="19" t="inlineStr">
        <is>
          <t>3Г</t>
        </is>
      </c>
      <c r="B13" s="19" t="n">
        <v>25</v>
      </c>
      <c r="C13" t="n">
        <v>1</v>
      </c>
    </row>
    <row r="14">
      <c r="A14" s="19" t="inlineStr">
        <is>
          <t>4А</t>
        </is>
      </c>
      <c r="B14" s="19" t="n">
        <v>25</v>
      </c>
      <c r="C14" t="n">
        <v>1</v>
      </c>
    </row>
    <row r="15">
      <c r="A15" s="19" t="inlineStr">
        <is>
          <t>4Б</t>
        </is>
      </c>
      <c r="B15" s="19" t="n">
        <v>25</v>
      </c>
      <c r="C15" t="n">
        <v>1</v>
      </c>
    </row>
    <row r="16">
      <c r="A16" s="19" t="inlineStr">
        <is>
          <t>4В</t>
        </is>
      </c>
      <c r="B16" s="19" t="n">
        <v>25</v>
      </c>
      <c r="C16" t="n">
        <v>1</v>
      </c>
    </row>
    <row r="17">
      <c r="A17" s="19" t="inlineStr">
        <is>
          <t>4Г</t>
        </is>
      </c>
      <c r="B17" s="19" t="n">
        <v>25</v>
      </c>
      <c r="C17" t="n">
        <v>1</v>
      </c>
    </row>
    <row r="18">
      <c r="A18" s="19" t="inlineStr">
        <is>
          <t>5А</t>
        </is>
      </c>
      <c r="B18" s="19" t="n">
        <v>28</v>
      </c>
      <c r="C18" t="n">
        <v>2</v>
      </c>
    </row>
    <row r="19">
      <c r="A19" s="19" t="inlineStr">
        <is>
          <t>5Б</t>
        </is>
      </c>
      <c r="B19" s="19" t="n">
        <v>28</v>
      </c>
      <c r="C19" t="n">
        <v>2</v>
      </c>
    </row>
    <row r="20">
      <c r="A20" s="19" t="inlineStr">
        <is>
          <t>5В</t>
        </is>
      </c>
      <c r="B20" s="19" t="n">
        <v>28</v>
      </c>
      <c r="C20" t="n">
        <v>2</v>
      </c>
    </row>
    <row r="21">
      <c r="A21" s="19" t="inlineStr">
        <is>
          <t>5Г</t>
        </is>
      </c>
      <c r="B21" s="19" t="n">
        <v>28</v>
      </c>
      <c r="C21" t="n">
        <v>2</v>
      </c>
    </row>
    <row r="22">
      <c r="A22" s="19" t="inlineStr">
        <is>
          <t>6А</t>
        </is>
      </c>
      <c r="B22" s="19" t="n">
        <v>28</v>
      </c>
      <c r="C22" t="n">
        <v>2</v>
      </c>
    </row>
    <row r="23">
      <c r="A23" s="19" t="inlineStr">
        <is>
          <t>6Б</t>
        </is>
      </c>
      <c r="B23" s="19" t="n">
        <v>28</v>
      </c>
      <c r="C23" t="n">
        <v>2</v>
      </c>
    </row>
    <row r="24">
      <c r="A24" s="19" t="inlineStr">
        <is>
          <t>6В</t>
        </is>
      </c>
      <c r="B24" s="19" t="n">
        <v>28</v>
      </c>
      <c r="C24" t="n">
        <v>2</v>
      </c>
    </row>
    <row r="25">
      <c r="A25" s="19" t="inlineStr">
        <is>
          <t>6Г</t>
        </is>
      </c>
      <c r="B25" s="19" t="n">
        <v>28</v>
      </c>
      <c r="C25" t="n">
        <v>2</v>
      </c>
    </row>
    <row r="26">
      <c r="A26" s="19" t="inlineStr">
        <is>
          <t>7А</t>
        </is>
      </c>
      <c r="B26" s="19" t="n">
        <v>28</v>
      </c>
      <c r="C26" t="n">
        <v>2</v>
      </c>
    </row>
    <row r="27">
      <c r="A27" s="19" t="inlineStr">
        <is>
          <t>7Б</t>
        </is>
      </c>
      <c r="B27" s="19" t="n">
        <v>28</v>
      </c>
      <c r="C27" t="n">
        <v>2</v>
      </c>
    </row>
    <row r="28">
      <c r="A28" s="19" t="inlineStr">
        <is>
          <t>7В</t>
        </is>
      </c>
      <c r="B28" s="19" t="n">
        <v>28</v>
      </c>
      <c r="C28" t="n">
        <v>2</v>
      </c>
    </row>
    <row r="29">
      <c r="A29" s="19" t="inlineStr">
        <is>
          <t>7Г</t>
        </is>
      </c>
      <c r="B29" s="19" t="n">
        <v>28</v>
      </c>
      <c r="C29" t="n">
        <v>2</v>
      </c>
    </row>
    <row r="30">
      <c r="A30" s="19" t="inlineStr">
        <is>
          <t>8А</t>
        </is>
      </c>
      <c r="B30" s="19" t="n">
        <v>28</v>
      </c>
      <c r="C30" t="n">
        <v>2</v>
      </c>
    </row>
    <row r="31">
      <c r="A31" s="19" t="inlineStr">
        <is>
          <t>8Б</t>
        </is>
      </c>
      <c r="B31" s="19" t="n">
        <v>28</v>
      </c>
      <c r="C31" t="n">
        <v>2</v>
      </c>
    </row>
    <row r="32">
      <c r="A32" s="19" t="inlineStr">
        <is>
          <t>8В</t>
        </is>
      </c>
      <c r="B32" s="19" t="n">
        <v>28</v>
      </c>
      <c r="C32" t="n">
        <v>2</v>
      </c>
    </row>
    <row r="33">
      <c r="A33" s="19" t="inlineStr">
        <is>
          <t>8Г</t>
        </is>
      </c>
      <c r="B33" s="19" t="n">
        <v>28</v>
      </c>
      <c r="C33" t="n">
        <v>2</v>
      </c>
    </row>
    <row r="34">
      <c r="A34" s="19" t="inlineStr">
        <is>
          <t>9А</t>
        </is>
      </c>
      <c r="B34" s="19" t="n">
        <v>28</v>
      </c>
      <c r="C34" t="n">
        <v>2</v>
      </c>
    </row>
    <row r="35">
      <c r="A35" s="19" t="inlineStr">
        <is>
          <t>9Б</t>
        </is>
      </c>
      <c r="B35" s="19" t="n">
        <v>28</v>
      </c>
      <c r="C35" t="n">
        <v>2</v>
      </c>
    </row>
    <row r="36">
      <c r="A36" s="19" t="inlineStr">
        <is>
          <t>9В</t>
        </is>
      </c>
      <c r="B36" s="19" t="n">
        <v>28</v>
      </c>
      <c r="C36" t="n">
        <v>2</v>
      </c>
    </row>
    <row r="37">
      <c r="A37" s="19" t="inlineStr">
        <is>
          <t>9Г</t>
        </is>
      </c>
      <c r="B37" s="19" t="n">
        <v>28</v>
      </c>
      <c r="C37" t="n">
        <v>2</v>
      </c>
    </row>
    <row r="38">
      <c r="A38" s="19" t="inlineStr">
        <is>
          <t>10А</t>
        </is>
      </c>
      <c r="B38" s="19" t="n">
        <v>22</v>
      </c>
      <c r="C38" t="n">
        <v>1</v>
      </c>
    </row>
    <row r="39">
      <c r="A39" s="19" t="inlineStr">
        <is>
          <t>10Б</t>
        </is>
      </c>
      <c r="B39" s="19" t="n">
        <v>22</v>
      </c>
      <c r="C39" t="n">
        <v>1</v>
      </c>
    </row>
    <row r="40">
      <c r="A40" s="19" t="inlineStr">
        <is>
          <t>10В</t>
        </is>
      </c>
      <c r="B40" s="19" t="n">
        <v>22</v>
      </c>
      <c r="C40" t="n">
        <v>1</v>
      </c>
    </row>
    <row r="41">
      <c r="A41" s="19" t="inlineStr">
        <is>
          <t>10Г</t>
        </is>
      </c>
      <c r="B41" s="19" t="n">
        <v>22</v>
      </c>
      <c r="C41" t="n">
        <v>1</v>
      </c>
    </row>
    <row r="42">
      <c r="A42" s="19" t="inlineStr">
        <is>
          <t>11А</t>
        </is>
      </c>
      <c r="B42" s="19" t="n">
        <v>22</v>
      </c>
      <c r="C42" t="n">
        <v>1</v>
      </c>
    </row>
    <row r="43">
      <c r="A43" s="19" t="inlineStr">
        <is>
          <t>11Б</t>
        </is>
      </c>
      <c r="B43" s="19" t="n">
        <v>22</v>
      </c>
      <c r="C43" t="n">
        <v>1</v>
      </c>
    </row>
    <row r="44">
      <c r="A44" s="19" t="inlineStr">
        <is>
          <t>11В</t>
        </is>
      </c>
      <c r="B44" s="19" t="n">
        <v>22</v>
      </c>
      <c r="C44" t="n">
        <v>1</v>
      </c>
    </row>
    <row r="45">
      <c r="A45" s="19" t="inlineStr">
        <is>
          <t>11Г</t>
        </is>
      </c>
      <c r="B45" s="19" t="n">
        <v>22</v>
      </c>
      <c r="C45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9" min="1" max="1"/>
    <col width="14" customWidth="1" style="19" min="2" max="2"/>
    <col width="22" customWidth="1" style="19" min="3" max="3"/>
  </cols>
  <sheetData>
    <row r="1" ht="24" customHeight="1" s="20">
      <c r="A1" s="39" t="inlineStr">
        <is>
          <t>📖 Справочники — валидные значения</t>
        </is>
      </c>
    </row>
    <row r="2" ht="30" customHeight="1" s="20">
      <c r="A2" s="40" t="inlineStr">
        <is>
          <t>Если нужно — добавляйте свои значения ниже в каждой колонке. Выпадающие списки в других листах подхватятся автоматически.</t>
        </is>
      </c>
    </row>
    <row r="4" ht="27.75" customHeight="1" s="20">
      <c r="A4" s="24" t="inlineStr">
        <is>
          <t>Предметы</t>
        </is>
      </c>
      <c r="B4" s="24" t="inlineStr">
        <is>
          <t>Дни недели</t>
        </is>
      </c>
      <c r="C4" s="24" t="inlineStr">
        <is>
          <t>Типы кабинетов</t>
        </is>
      </c>
    </row>
    <row r="5" ht="15" customHeight="1" s="20">
      <c r="A5" s="36" t="inlineStr">
        <is>
          <t>Русский язык</t>
        </is>
      </c>
      <c r="B5" s="36" t="inlineStr">
        <is>
          <t>Пн</t>
        </is>
      </c>
      <c r="C5" s="36" t="inlineStr">
        <is>
          <t>Физика</t>
        </is>
      </c>
    </row>
    <row r="6" ht="15" customHeight="1" s="20">
      <c r="A6" s="36" t="inlineStr">
        <is>
          <t>Литература</t>
        </is>
      </c>
      <c r="B6" s="36" t="inlineStr">
        <is>
          <t>Вт</t>
        </is>
      </c>
      <c r="C6" s="36" t="inlineStr">
        <is>
          <t>Химия</t>
        </is>
      </c>
    </row>
    <row r="7" ht="15" customHeight="1" s="20">
      <c r="A7" s="36" t="inlineStr">
        <is>
          <t>Иностранный язык</t>
        </is>
      </c>
      <c r="B7" s="36" t="inlineStr">
        <is>
          <t>Ср</t>
        </is>
      </c>
      <c r="C7" s="36" t="inlineStr">
        <is>
          <t>Биология</t>
        </is>
      </c>
    </row>
    <row r="8" ht="15" customHeight="1" s="20">
      <c r="A8" s="36" t="inlineStr">
        <is>
          <t>Математика</t>
        </is>
      </c>
      <c r="B8" s="36" t="inlineStr">
        <is>
          <t>Чт</t>
        </is>
      </c>
      <c r="C8" s="36" t="inlineStr">
        <is>
          <t>Информатика</t>
        </is>
      </c>
    </row>
    <row r="9" ht="15" customHeight="1" s="20">
      <c r="A9" s="36" t="inlineStr">
        <is>
          <t>Алгебра</t>
        </is>
      </c>
      <c r="B9" s="36" t="inlineStr">
        <is>
          <t>Пт</t>
        </is>
      </c>
      <c r="C9" s="36" t="inlineStr">
        <is>
          <t>Иностранный язык</t>
        </is>
      </c>
    </row>
    <row r="10" ht="15" customHeight="1" s="20">
      <c r="A10" s="36" t="inlineStr">
        <is>
          <t>Геометрия</t>
        </is>
      </c>
      <c r="B10" s="36" t="inlineStr">
        <is>
          <t>Сб</t>
        </is>
      </c>
      <c r="C10" s="36" t="inlineStr">
        <is>
          <t>Музыка</t>
        </is>
      </c>
    </row>
    <row r="11" ht="15" customHeight="1" s="20">
      <c r="A11" s="36" t="inlineStr">
        <is>
          <t>Вероятность и статистика</t>
        </is>
      </c>
      <c r="B11" s="36" t="n"/>
      <c r="C11" s="36" t="inlineStr">
        <is>
          <t>Спортзал</t>
        </is>
      </c>
    </row>
    <row r="12" ht="15" customHeight="1" s="20">
      <c r="A12" s="36" t="inlineStr">
        <is>
          <t>Информатика</t>
        </is>
      </c>
      <c r="B12" s="36" t="n"/>
      <c r="C12" s="36" t="inlineStr">
        <is>
          <t>Мастерская</t>
        </is>
      </c>
    </row>
    <row r="13" ht="15" customHeight="1" s="20">
      <c r="A13" s="36" t="inlineStr">
        <is>
          <t>История</t>
        </is>
      </c>
      <c r="B13" s="36" t="n"/>
      <c r="C13" s="36" t="inlineStr">
        <is>
          <t>Актовый зал</t>
        </is>
      </c>
    </row>
    <row r="14" ht="15" customHeight="1" s="20">
      <c r="A14" s="36" t="inlineStr">
        <is>
          <t>Обществознание</t>
        </is>
      </c>
      <c r="B14" s="36" t="n"/>
      <c r="C14" s="36" t="n"/>
    </row>
    <row r="15" ht="15" customHeight="1" s="20">
      <c r="A15" s="36" t="inlineStr">
        <is>
          <t>География</t>
        </is>
      </c>
      <c r="B15" s="36" t="n"/>
      <c r="C15" s="36" t="n"/>
    </row>
    <row r="16" ht="15" customHeight="1" s="20">
      <c r="A16" s="36" t="inlineStr">
        <is>
          <t>Физика</t>
        </is>
      </c>
      <c r="B16" s="36" t="n"/>
      <c r="C16" s="36" t="n"/>
    </row>
    <row r="17" ht="15" customHeight="1" s="20">
      <c r="A17" s="36" t="inlineStr">
        <is>
          <t>Астрономия</t>
        </is>
      </c>
      <c r="B17" s="36" t="n"/>
      <c r="C17" s="36" t="n"/>
    </row>
    <row r="18" ht="15" customHeight="1" s="20">
      <c r="A18" s="36" t="inlineStr">
        <is>
          <t>Химия</t>
        </is>
      </c>
      <c r="B18" s="36" t="n"/>
      <c r="C18" s="36" t="n"/>
    </row>
    <row r="19" ht="15" customHeight="1" s="20">
      <c r="A19" s="36" t="inlineStr">
        <is>
          <t>Биология</t>
        </is>
      </c>
      <c r="B19" s="36" t="n"/>
      <c r="C19" s="36" t="n"/>
    </row>
    <row r="20" ht="15" customHeight="1" s="20">
      <c r="A20" s="36" t="inlineStr">
        <is>
          <t>Музыка</t>
        </is>
      </c>
      <c r="B20" s="36" t="n"/>
      <c r="C20" s="36" t="n"/>
    </row>
    <row r="21" ht="15" customHeight="1" s="20">
      <c r="A21" s="36" t="inlineStr">
        <is>
          <t>ИЗО</t>
        </is>
      </c>
      <c r="B21" s="36" t="n"/>
      <c r="C21" s="36" t="n"/>
    </row>
    <row r="22" ht="15" customHeight="1" s="20">
      <c r="A22" s="36" t="inlineStr">
        <is>
          <t>Технология</t>
        </is>
      </c>
      <c r="B22" s="36" t="n"/>
      <c r="C22" s="36" t="n"/>
    </row>
    <row r="23" ht="15" customHeight="1" s="20">
      <c r="A23" s="36" t="inlineStr">
        <is>
          <t>Физическая культура</t>
        </is>
      </c>
      <c r="B23" s="36" t="n"/>
      <c r="C23" s="36" t="n"/>
    </row>
    <row r="24" ht="15" customHeight="1" s="20">
      <c r="A24" s="36" t="inlineStr">
        <is>
          <t>ОБЖ</t>
        </is>
      </c>
      <c r="B24" s="36" t="n"/>
      <c r="C24" s="36" t="n"/>
    </row>
    <row r="25" ht="15" customHeight="1" s="20">
      <c r="A25" s="36" t="inlineStr">
        <is>
          <t>Окр. мир</t>
        </is>
      </c>
      <c r="B25" s="36" t="n"/>
      <c r="C25" s="36" t="n"/>
    </row>
    <row r="26" ht="15" customHeight="1" s="20">
      <c r="A26" s="36" t="inlineStr">
        <is>
          <t>ОРКСЭ</t>
        </is>
      </c>
      <c r="B26" s="36" t="n"/>
      <c r="C26" s="36" t="n"/>
    </row>
    <row r="27" ht="15" customHeight="1" s="20">
      <c r="A27" s="36" t="inlineStr">
        <is>
          <t>Индивидуальный проект</t>
        </is>
      </c>
      <c r="B27" s="36" t="n"/>
      <c r="C27" s="36" t="n"/>
    </row>
    <row r="28" ht="15" customHeight="1" s="20">
      <c r="A28" s="36" t="inlineStr">
        <is>
          <t>Астрономия</t>
        </is>
      </c>
      <c r="B28" s="36" t="n"/>
      <c r="C28" s="36" t="n"/>
    </row>
    <row r="29" ht="15" customHeight="1" s="20">
      <c r="A29" s="36" t="n"/>
      <c r="B29" s="36" t="n"/>
      <c r="C29" s="36" t="n"/>
    </row>
    <row r="30" ht="15" customHeight="1" s="20">
      <c r="A30" s="36" t="n"/>
      <c r="B30" s="36" t="n"/>
      <c r="C30" s="36" t="n"/>
    </row>
    <row r="31" ht="15" customHeight="1" s="20">
      <c r="A31" s="36" t="n"/>
      <c r="B31" s="36" t="n"/>
      <c r="C31" s="36" t="n"/>
    </row>
    <row r="32" ht="15" customHeight="1" s="20">
      <c r="A32" s="36" t="n"/>
      <c r="B32" s="36" t="n"/>
      <c r="C32" s="36" t="n"/>
    </row>
    <row r="33" ht="15" customHeight="1" s="20">
      <c r="A33" s="36" t="n"/>
      <c r="B33" s="36" t="n"/>
      <c r="C33" s="36" t="n"/>
    </row>
    <row r="34" ht="15" customHeight="1" s="20">
      <c r="A34" s="36" t="n"/>
      <c r="B34" s="36" t="n"/>
      <c r="C34" s="36" t="n"/>
    </row>
    <row r="35" ht="15" customHeight="1" s="20">
      <c r="A35" s="36" t="n"/>
      <c r="B35" s="36" t="n"/>
      <c r="C35" s="36" t="n"/>
    </row>
    <row r="36" ht="15" customHeight="1" s="20">
      <c r="A36" s="36" t="n"/>
      <c r="B36" s="36" t="n"/>
      <c r="C36" s="36" t="n"/>
    </row>
    <row r="37" ht="15" customHeight="1" s="20">
      <c r="A37" s="36" t="n"/>
      <c r="B37" s="36" t="n"/>
      <c r="C37" s="36" t="n"/>
    </row>
    <row r="38" ht="15" customHeight="1" s="20">
      <c r="A38" s="36" t="n"/>
      <c r="B38" s="36" t="n"/>
      <c r="C38" s="3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2026-04-24T13:22:42Z</dcterms:created>
  <dcterms:modified xsi:type="dcterms:W3CDTF">2026-04-24T15:14:39Z</dcterms:modified>
  <cp:revision>0</cp:revision>
</cp:coreProperties>
</file>